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D52F6273-2630-43A7-B37C-C71F03D436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enario_defin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" l="1"/>
  <c r="E30" i="1"/>
  <c r="D30" i="1"/>
  <c r="G29" i="1"/>
  <c r="E29" i="1"/>
  <c r="D29" i="1"/>
  <c r="G28" i="1"/>
  <c r="E28" i="1"/>
  <c r="D28" i="1"/>
  <c r="G27" i="1"/>
  <c r="E27" i="1"/>
  <c r="D27" i="1"/>
  <c r="G26" i="1"/>
  <c r="E26" i="1"/>
  <c r="D26" i="1"/>
  <c r="G25" i="1"/>
  <c r="E25" i="1"/>
  <c r="D25" i="1"/>
  <c r="G24" i="1"/>
  <c r="E24" i="1"/>
  <c r="D24" i="1"/>
  <c r="E23" i="1"/>
  <c r="D23" i="1"/>
</calcChain>
</file>

<file path=xl/sharedStrings.xml><?xml version="1.0" encoding="utf-8"?>
<sst xmlns="http://schemas.openxmlformats.org/spreadsheetml/2006/main" count="959" uniqueCount="197">
  <si>
    <t>index</t>
  </si>
  <si>
    <t>scenario</t>
  </si>
  <si>
    <t>solver</t>
  </si>
  <si>
    <t>show</t>
  </si>
  <si>
    <t>export</t>
  </si>
  <si>
    <t>export_iteration</t>
  </si>
  <si>
    <t>run_scenario</t>
  </si>
  <si>
    <t>variable_storage_vom</t>
  </si>
  <si>
    <t>simulation_years</t>
  </si>
  <si>
    <t>weather</t>
  </si>
  <si>
    <t>dispatch_coal_flex</t>
  </si>
  <si>
    <t>regions</t>
  </si>
  <si>
    <t>resource_area</t>
  </si>
  <si>
    <t>line_expansion</t>
  </si>
  <si>
    <t>options</t>
  </si>
  <si>
    <t>transmission_grid</t>
  </si>
  <si>
    <t>fixed_conventional</t>
  </si>
  <si>
    <t>phased_decom</t>
  </si>
  <si>
    <t>unit_committment</t>
  </si>
  <si>
    <t>endogenous_coal_decom</t>
  </si>
  <si>
    <t>override_coal_msl</t>
  </si>
  <si>
    <t>coal_ramp_rate_multiplier</t>
  </si>
  <si>
    <t>fixed_fuel_prices</t>
  </si>
  <si>
    <t>fixed_emissions</t>
  </si>
  <si>
    <t>fixed_renewables</t>
  </si>
  <si>
    <t>fixed_storage</t>
  </si>
  <si>
    <t>extendable_active</t>
  </si>
  <si>
    <t>extendable_parameters</t>
  </si>
  <si>
    <t>global_discount_rate</t>
  </si>
  <si>
    <t>extendable_fuel_prices</t>
  </si>
  <si>
    <t>extendable_emissions</t>
  </si>
  <si>
    <t>extendable_max_total</t>
  </si>
  <si>
    <t>extendable_min_total</t>
  </si>
  <si>
    <t>extendable_max_annual</t>
  </si>
  <si>
    <t>extendable_min_annual</t>
  </si>
  <si>
    <t>aux_stg_feed</t>
  </si>
  <si>
    <t>operational_limits</t>
  </si>
  <si>
    <t>operational_reserves</t>
  </si>
  <si>
    <t>outage_profiles</t>
  </si>
  <si>
    <t>annual_availability</t>
  </si>
  <si>
    <t>carbon_constraints</t>
  </si>
  <si>
    <t>carbon_tax</t>
  </si>
  <si>
    <t>co2_cap</t>
  </si>
  <si>
    <t>load_trajectory</t>
  </si>
  <si>
    <t>reserve_margin</t>
  </si>
  <si>
    <t>capacity_credits</t>
  </si>
  <si>
    <t>1.00</t>
  </si>
  <si>
    <t>REF-LC</t>
  </si>
  <si>
    <t>gurobi</t>
  </si>
  <si>
    <t>true</t>
  </si>
  <si>
    <t>2025, 2030, 2035, 2040, 2045, 2050</t>
  </si>
  <si>
    <t>W_P50</t>
  </si>
  <si>
    <t>SL_0</t>
  </si>
  <si>
    <t>redz_corridors_eia</t>
  </si>
  <si>
    <t>copt</t>
  </si>
  <si>
    <t>LC-182h</t>
  </si>
  <si>
    <t>existing+tdp</t>
  </si>
  <si>
    <t>BASE_PMR1b</t>
  </si>
  <si>
    <t>DELAYED_ESKOM_2035</t>
  </si>
  <si>
    <t>BASE</t>
  </si>
  <si>
    <t>UNC</t>
  </si>
  <si>
    <t>DIESEL_LNG</t>
  </si>
  <si>
    <t>NO_GAS_FLOOR</t>
  </si>
  <si>
    <t>EAF_60</t>
  </si>
  <si>
    <t>none</t>
  </si>
  <si>
    <t>CT_2050</t>
  </si>
  <si>
    <t>LOWDelEVs</t>
  </si>
  <si>
    <t>RES_MRGN_10</t>
  </si>
  <si>
    <t>BASE2</t>
  </si>
  <si>
    <t>POL-3GW</t>
  </si>
  <si>
    <t>3GW_GAS</t>
  </si>
  <si>
    <t>POL-3GW-CT</t>
  </si>
  <si>
    <t>POL-6GW</t>
  </si>
  <si>
    <t>6GW_GAS</t>
  </si>
  <si>
    <t>POL-18.25GW</t>
  </si>
  <si>
    <t>IRP25_GAS</t>
  </si>
  <si>
    <t>COAL-FAST</t>
  </si>
  <si>
    <t>2025, 2030, 2035, 2040, 2045, 2054</t>
  </si>
  <si>
    <t>NO_MIN_GAS</t>
  </si>
  <si>
    <t>COAL-SLOW</t>
  </si>
  <si>
    <t>2025, 2030, 2035, 2040, 2045, 2055</t>
  </si>
  <si>
    <t>DEM-CENTRAL</t>
  </si>
  <si>
    <t>2025, 2030, 2035, 2040, 2045, 2058</t>
  </si>
  <si>
    <t>DEM-HIGH</t>
  </si>
  <si>
    <t>2025, 2030, 2035, 2040, 2045, 2059</t>
  </si>
  <si>
    <t>GAS-PRICE-LOW</t>
  </si>
  <si>
    <t>2025, 2030, 2035, 2040, 2045, 2060</t>
  </si>
  <si>
    <t>GAS-PRICE-HIGH</t>
  </si>
  <si>
    <t>2025, 2030, 2035, 2040, 2045, 2061</t>
  </si>
  <si>
    <t>CON-SHORT</t>
  </si>
  <si>
    <t>2025, 2030, 2035, 2040, 2045, 2062</t>
  </si>
  <si>
    <t>CON-MEDIUM</t>
  </si>
  <si>
    <t>2025, 2030, 2035, 2040, 2045, 2063</t>
  </si>
  <si>
    <t>CON-LONG</t>
  </si>
  <si>
    <t>2025, 2030, 2035, 2040, 2045, 2064</t>
  </si>
  <si>
    <t>CON-MUST-USE</t>
  </si>
  <si>
    <t>2025, 2030, 2035, 2040, 2045, 2065</t>
  </si>
  <si>
    <t>* Solver used to solve the LP optimization problem.</t>
  </si>
  <si>
    <t>* Visualization/plot-output flag. DEAD: not read anywhere in current scripts, has no effect.</t>
  </si>
  <si>
    <t>* Export-results flag. DEAD: not read anywhere in current scripts, has no effect.</t>
  </si>
  <si>
    <t>* Number of intermediate export iterations. DEAD: not read anywhere in current scripts.</t>
  </si>
  <si>
    <t>* Whether this row is included when Snakemake builds the scenario run list.</t>
  </si>
  <si>
    <t>* If truthy, storage VOM cost is computed per year from extendable parameters instead of a fixed value.</t>
  </si>
  <si>
    <t>* Snapshot years modeled. Paper 0 = single 2030 cross-section (2025 = start-of-horizon reference year).</t>
  </si>
  <si>
    <t>* P50 median weather year, mapped to historical year 2018 for all model years.</t>
  </si>
  <si>
    <t>* Coal dispatch "service level". INACTIVE for P0: only takes effect when unit_committment=1 (P0 has 0).</t>
  </si>
  <si>
    <t>* Number of supply regions the network is split into (10-node representation of South Africa).</t>
  </si>
  <si>
    <t>* Candidate site set for new renewables: Renewable Energy Development Zones + grid corridors + EIA-approved sites.</t>
  </si>
  <si>
    <t>* On/off flag for transmission expansion. Any value other than none/0/false/nan makes transmission links extendable (cost-optimal expansion beyond existing+TDP grid allowed).</t>
  </si>
  <si>
    <t>* Time-resolution setting for dispatch. "LC" (no numeric/SEG suffix) = full chronological year, 8760h, no snapshot clustering.</t>
  </si>
  <si>
    <t>* Transmission grid = existing lines + Eskom Transmission Development Plan (planned lines to scheduled build year). No user-defined lines added (no 3rd "+" token).</t>
  </si>
  <si>
    <t>* Heat rates and fixed technical/cost parameters for the existing coal fleet.</t>
  </si>
  <si>
    <t>* Nominal coal retirement schedule label. Read by TWO code paths: (1) apply_phased_decommissioning() in add_electricity.py - its call is permanently commented out (add_electricity.py:1058), always dead; (2) add_coal_decom() in prepare_and_solve_network.py - active code, but only runs when unit_committment=1 (P0 has 0). For P0 this column therefore has NO effect either way - real coal retirement years come from decommissioning_date in fixed_technologies.xlsx::conventional instead. If unit_committment were ever set to 1, path (2) would activate and read phased_decommissioning.xlsx::schedule for real.</t>
  </si>
  <si>
    <t>* Unit commitment (startup/shutdown costs, min up/down times) disabled. Required =1 for columns K and T to take effect.</t>
  </si>
  <si>
    <t>* Would allow the model to endogenously retire coal early if profitable. Value is 0 for P0 (already off). The mechanism additionally needs unit_committment=1 to create the coal-decommissioning optimization variables in add_coal_decom() (prepare_and_solve_network.py) - P0 has unit_committment=0, so this is doubly inactive for P0.</t>
  </si>
  <si>
    <t>* Minimum stable load for coal units, overridden to 40% of nameplate capacity.</t>
  </si>
  <si>
    <t>* Coal fleet allowed to ramp 1.5x faster than the base ramp rate (Coal Flexibilisation feature).</t>
  </si>
  <si>
    <t>* Fuel price trajectory for existing (fixed) generators, incl. coal and diesel.</t>
  </si>
  <si>
    <t>* Emission factors for existing (fixed) generators.</t>
  </si>
  <si>
    <t>* Technical/cost parameters (capacity, O&amp;M, commissioning/decommissioning dates) for existing renewable plants.</t>
  </si>
  <si>
    <t>* Technical/cost parameters for existing storage (pumped hydro etc.).</t>
  </si>
  <si>
    <t>* Defines which technologies are allowed to be built as new capacity.</t>
  </si>
  <si>
    <t>* Capex/opex/lifetime parameters for new-build technologies (wind, solar, OCGT, battery).</t>
  </si>
  <si>
    <t>* 9.2% annual discount rate for investment decisions, overrides the default-sheet value (8.2%); chosen as South-Africa-appropriate.</t>
  </si>
  <si>
    <t>* Fuel price trajectory for new-build generators (e.g. OCGT).</t>
  </si>
  <si>
    <t>* Emission factors for new-build plants - the sole source of new-build emission factors used by the model.</t>
  </si>
  <si>
    <t>* Maximum total installed capacity per technology. UNC = unconstrained (sheet has no rows for UNC by design, so no cap applies).</t>
  </si>
  <si>
    <t>* Minimum total installed capacity (e.g. committed pipeline). UNC = unconstrained (no rows for UNC by design).</t>
  </si>
  <si>
    <t>* Maximum annual build rate per technology. UNC = unconstrained.</t>
  </si>
  <si>
    <t>* Minimum annual build requirement per technology. UNC = unconstrained.</t>
  </si>
  <si>
    <t>* Fuel(s) allowed for auxiliary storage/peaker units - diesel and LNG both permitted.</t>
  </si>
  <si>
    <t>* Operational dispatch constraint set. NO_MIN_GAS = no minimum gas dispatch required, but this set still contains other active constraints (e.g. nuclear must-run, Sasol gas caps) - see the 11 NO_MIN_GAS rows in the source sheet for exact figures.</t>
  </si>
  <si>
    <t>* Spinning/total operating reserve requirement. DEAD in current code: set_operating_reserves() call is commented out (prepare_and_solve_network.py:467). The "BASE" sheet for this column now only exists in the Coal_Flexibilisation_PK archive (650 MW spinning / 2200 MW total) - it was removed from this (cleaned) folder. If this constraint is ever reactivated, the operational_reserves sheet must be restored here first.</t>
  </si>
  <si>
    <t>* Weekly planned+unplanned outage rates per generating unit, used to derate availability across the year.</t>
  </si>
  <si>
    <t>* Energy Availability Factor = 60% for all Eskom coal units (all years 2023-2060) - optimistic vs. real recent Eskom performance (~55-60%). Other technologies under this label are unaffected (e.g. Koeberg nuclear 90%, Sasol coal 80%, new-build 85-100%).</t>
  </si>
  <si>
    <t>* none = no CO2 cap/constraint. CT_REINVEST (used in _R scenarios) = custom constraint requiring reinvestment of carbon-tax revenue into RE+battery capacity; implemented directly in code, not read from an xlsx sheet.</t>
  </si>
  <si>
    <t>* CT_2030 = carbon tax trajectory ramping to 462 R/tCO2 in 2030 only (0 in all other modeled years).</t>
  </si>
  <si>
    <t>* added! Sets a co2 emission cap (not run by carbon contraint (that is reinvestment)</t>
  </si>
  <si>
    <t>* Demand growth trajectory - IRP2024 "moderate" scenario.</t>
  </si>
  <si>
    <t>* 10% reserve margin above peak demand required, active from 2030 onward (not before).</t>
  </si>
  <si>
    <t>* Share of nameplate capacity each technology counts toward the reserve margin - coal 53%, solar PV 0% (strict), wind/battery/OCGT per sheet. Correction vs. previous note: coal credit is 0.53, not 0.52.</t>
  </si>
  <si>
    <t>Source: direct value, not looked up in any sub_scenario file.</t>
  </si>
  <si>
    <t>Source: n/a (dead column).</t>
  </si>
  <si>
    <t>Source: direct value, read by scenario-generation code, no xlsx sub-lookup.</t>
  </si>
  <si>
    <t>Source: extendable_technologies.xlsx :: parameters (storage VOM columns).</t>
  </si>
  <si>
    <t>Source: direct value, not looked up.</t>
  </si>
  <si>
    <t>Source: weather.xlsx :: weather_years.</t>
  </si>
  <si>
    <t>Source: n/a for P0 (inactive code path).</t>
  </si>
  <si>
    <t>Source: direct value (network build parameter), not an xlsx lookup.</t>
  </si>
  <si>
    <t>Source: code-level flag (base_network.py), not an xlsx sub-lookup.</t>
  </si>
  <si>
    <t>Source: code-level flag, base_network.py:147; not an xlsx sub-lookup.</t>
  </si>
  <si>
    <t>Source: code-level flag, parsed in add_electricity.py:1770; not an xlsx sub-lookup.</t>
  </si>
  <si>
    <t>Source: code-level flag, build_topology.py:86+106 (line geometries from GIS shapefiles set in Snakefile). transmission_expansion.xlsx::transmission_expansion only used for user-defined lines, not consulted here (only contains an unused 'test' scenario).</t>
  </si>
  <si>
    <t>Source: fixed_technologies.xlsx :: conventional (BASE_PMR1b rows).</t>
  </si>
  <si>
    <t>Source: phased_decommissioning.xlsx :: schedule (present here; not read for P0 since unit_committment=0).</t>
  </si>
  <si>
    <t>Source: direct value, not an xlsx lookup.</t>
  </si>
  <si>
    <t>Source: n/a for P0 (inactive code path; no xlsx lookup - direct 0/1 flag).</t>
  </si>
  <si>
    <t>Source: direct numeric value typed into scenarios_to_run.xlsx, not looked up elsewhere.</t>
  </si>
  <si>
    <t>Source: multiplier is a direct value; base ramp rates (max_ramp_up/down) from fixed_technologies.xlsx :: conventional.</t>
  </si>
  <si>
    <t>Source: fuel_prices.xlsx :: fixed_generators.</t>
  </si>
  <si>
    <t>Source: emissions.xlsx :: fixed_generator_emissions.</t>
  </si>
  <si>
    <t>Source: fixed_technologies.xlsx :: renewables.</t>
  </si>
  <si>
    <t>Source: fixed_technologies.xlsx :: storage.</t>
  </si>
  <si>
    <t>Source: extendable_technologies.xlsx :: active.</t>
  </si>
  <si>
    <t>Source: extendable_technologies.xlsx :: parameters.</t>
  </si>
  <si>
    <t>Source: direct override value typed into scenarios_to_run.xlsx (overrides extendable_technologies.xlsx :: parameters default rate).</t>
  </si>
  <si>
    <t>Source: fuel_prices.xlsx :: extendable_generators.</t>
  </si>
  <si>
    <t>Source: emissions.xlsx :: extendable_generator_emissions. File note on coal row: "Assuming 96 kgCO2/GJ for thermal coal see coal_ref1" - reference "coal_ref1" could not be resolved anywhere in the workbook, please clarify.</t>
  </si>
  <si>
    <t>Source: extendable_technologies.xlsx :: max_total_installed.</t>
  </si>
  <si>
    <t>Source: extendable_technologies.xlsx :: min_total_installed.</t>
  </si>
  <si>
    <t>Source: extendable_technologies.xlsx :: max_annual_installed.</t>
  </si>
  <si>
    <t>Source: extendable_technologies.xlsx :: min_annual_installed.</t>
  </si>
  <si>
    <t>Source: aux_stg_feed.xlsx :: allowable_carriers.</t>
  </si>
  <si>
    <t>Source: operational_constraints.xlsx :: operational_constraints.</t>
  </si>
  <si>
    <t>Source: Coal_Flexibilisation_PK/sub_scenarios/operational_constraints.xlsx :: operational_reserves (archived; not present in this folder).</t>
  </si>
  <si>
    <t>Source: plant_availability.xlsx :: outage_profiles.</t>
  </si>
  <si>
    <t>Source: plant_availability.xlsx :: annual_availability.</t>
  </si>
  <si>
    <t>Source: custom_constraints.py (code-level constraint, no xlsx lookup).</t>
  </si>
  <si>
    <t>Source: emissions.xlsx :: carbon_tax.</t>
  </si>
  <si>
    <t>Source: annual_load.xlsx :: annual_load. File note: "CAGR 2040-2050 extended".</t>
  </si>
  <si>
    <t>Source: reserve_margin.xlsx :: reserve_margin.</t>
  </si>
  <si>
    <t>Source: reserve_margin.xlsx :: capacity_credits.</t>
  </si>
  <si>
    <t>P0_BASE</t>
  </si>
  <si>
    <t>0.00</t>
  </si>
  <si>
    <t>2025, 2030</t>
  </si>
  <si>
    <t>LC</t>
  </si>
  <si>
    <t>P0_BASE_R</t>
  </si>
  <si>
    <t>CT_REINVEST</t>
  </si>
  <si>
    <t>P0_CT</t>
  </si>
  <si>
    <t>CT_2030</t>
  </si>
  <si>
    <t>P0_CT_R</t>
  </si>
  <si>
    <t>P1_BASE</t>
  </si>
  <si>
    <t>IRP24_MOD</t>
  </si>
  <si>
    <t>P1_BASE_R</t>
  </si>
  <si>
    <t>P1_CT</t>
  </si>
  <si>
    <t>P1_CT_R</t>
  </si>
  <si>
    <t>REF-LC-CT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</si>
</sst>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F3F3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4" fontId="1" fillId="2" borderId="1" xfId="0" applyNumberFormat="1" applyFont="1" applyFill="1" applyBorder="1" applyAlignment="1">
      <alignment horizontal="right" wrapText="1"/>
    </xf>
    <xf numFmtId="10" fontId="1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 wrapText="1"/>
    </xf>
    <xf numFmtId="10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"/>
  <sheetViews>
    <sheetView tabSelected="1" workbookViewId="0">
      <selection activeCell="AP5" sqref="AP5"/>
    </sheetView>
  </sheetViews>
  <sheetFormatPr defaultRowHeight="14.4" x14ac:dyDescent="0.3"/>
  <cols>
    <col min="1" max="1" width="9.33203125" customWidth="1"/>
    <col min="2" max="2" width="26.33203125" customWidth="1"/>
    <col min="3" max="7" width="9.33203125" customWidth="1"/>
    <col min="8" max="8" width="11.33203125" customWidth="1"/>
    <col min="9" max="9" width="32.33203125" customWidth="1"/>
    <col min="10" max="10" width="15.88671875" customWidth="1"/>
    <col min="11" max="12" width="9.33203125" customWidth="1"/>
    <col min="13" max="13" width="18.109375" customWidth="1"/>
    <col min="14" max="14" width="14.5546875" customWidth="1"/>
    <col min="15" max="15" width="15.109375" customWidth="1"/>
    <col min="16" max="16" width="12.88671875" customWidth="1"/>
    <col min="17" max="17" width="14" customWidth="1"/>
    <col min="18" max="18" width="28.33203125" customWidth="1"/>
    <col min="19" max="19" width="11" customWidth="1"/>
    <col min="20" max="20" width="25.33203125" customWidth="1"/>
    <col min="21" max="22" width="14" customWidth="1"/>
    <col min="23" max="23" width="14.109375" customWidth="1"/>
    <col min="24" max="24" width="10.6640625" customWidth="1"/>
    <col min="25" max="25" width="11.109375" customWidth="1"/>
    <col min="26" max="26" width="12.33203125" customWidth="1"/>
    <col min="27" max="27" width="11.5546875" customWidth="1"/>
    <col min="28" max="28" width="12.33203125" customWidth="1"/>
    <col min="29" max="29" width="11.5546875" customWidth="1"/>
    <col min="30" max="30" width="17.44140625" customWidth="1"/>
    <col min="31" max="31" width="12.44140625" customWidth="1"/>
    <col min="32" max="32" width="12.88671875" customWidth="1"/>
    <col min="33" max="34" width="12.44140625" customWidth="1"/>
    <col min="35" max="35" width="12.109375" customWidth="1"/>
    <col min="36" max="36" width="12.88671875" customWidth="1"/>
    <col min="37" max="37" width="13" customWidth="1"/>
    <col min="38" max="38" width="18.88671875" customWidth="1"/>
    <col min="39" max="39" width="9.33203125" customWidth="1"/>
    <col min="40" max="40" width="10" customWidth="1"/>
    <col min="41" max="41" width="13" customWidth="1"/>
    <col min="42" max="43" width="9.33203125" customWidth="1"/>
    <col min="44" max="44" width="15.5546875" customWidth="1"/>
    <col min="45" max="45" width="15.44140625" customWidth="1"/>
    <col min="46" max="46" width="15.88671875" customWidth="1"/>
  </cols>
  <sheetData>
    <row r="1" spans="1:46" ht="25.8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6" t="s">
        <v>41</v>
      </c>
      <c r="AQ1" s="6" t="s">
        <v>42</v>
      </c>
      <c r="AR1" s="6" t="s">
        <v>43</v>
      </c>
      <c r="AS1" s="3" t="s">
        <v>44</v>
      </c>
      <c r="AT1" s="3" t="s">
        <v>45</v>
      </c>
    </row>
    <row r="2" spans="1:46" x14ac:dyDescent="0.3">
      <c r="A2" s="7" t="s">
        <v>46</v>
      </c>
      <c r="B2" s="8" t="s">
        <v>47</v>
      </c>
      <c r="C2" s="8" t="s">
        <v>48</v>
      </c>
      <c r="D2" s="7" t="s">
        <v>49</v>
      </c>
      <c r="E2" s="7" t="s">
        <v>49</v>
      </c>
      <c r="F2" s="7">
        <v>0</v>
      </c>
      <c r="G2" s="7">
        <v>0</v>
      </c>
      <c r="H2" s="7">
        <v>1</v>
      </c>
      <c r="I2" s="8" t="s">
        <v>50</v>
      </c>
      <c r="J2" s="8" t="s">
        <v>51</v>
      </c>
      <c r="K2" s="8" t="s">
        <v>52</v>
      </c>
      <c r="L2" s="7">
        <v>1</v>
      </c>
      <c r="M2" s="8" t="s">
        <v>53</v>
      </c>
      <c r="N2" s="8" t="s">
        <v>54</v>
      </c>
      <c r="O2" s="9" t="s">
        <v>55</v>
      </c>
      <c r="P2" s="8" t="s">
        <v>56</v>
      </c>
      <c r="Q2" s="8" t="s">
        <v>57</v>
      </c>
      <c r="R2" s="8" t="s">
        <v>58</v>
      </c>
      <c r="S2" s="7">
        <v>1</v>
      </c>
      <c r="T2" s="7">
        <v>1</v>
      </c>
      <c r="U2" s="10">
        <v>0.65</v>
      </c>
      <c r="V2" s="7">
        <v>1</v>
      </c>
      <c r="W2" s="8" t="s">
        <v>57</v>
      </c>
      <c r="X2" s="8" t="s">
        <v>59</v>
      </c>
      <c r="Y2" s="8" t="s">
        <v>59</v>
      </c>
      <c r="Z2" s="8" t="s">
        <v>59</v>
      </c>
      <c r="AA2" s="8" t="s">
        <v>59</v>
      </c>
      <c r="AB2" s="8" t="s">
        <v>57</v>
      </c>
      <c r="AC2" s="7">
        <v>9.1999999999999998E-2</v>
      </c>
      <c r="AD2" s="8" t="s">
        <v>57</v>
      </c>
      <c r="AE2" s="8" t="s">
        <v>59</v>
      </c>
      <c r="AF2" s="8" t="s">
        <v>60</v>
      </c>
      <c r="AG2" s="8" t="s">
        <v>60</v>
      </c>
      <c r="AH2" s="8" t="s">
        <v>60</v>
      </c>
      <c r="AI2" s="8" t="s">
        <v>60</v>
      </c>
      <c r="AJ2" s="8" t="s">
        <v>61</v>
      </c>
      <c r="AK2" s="8" t="s">
        <v>62</v>
      </c>
      <c r="AL2" s="8" t="s">
        <v>59</v>
      </c>
      <c r="AM2" s="8" t="s">
        <v>59</v>
      </c>
      <c r="AN2" s="8" t="s">
        <v>63</v>
      </c>
      <c r="AO2" s="8" t="s">
        <v>64</v>
      </c>
      <c r="AP2" s="8" t="s">
        <v>64</v>
      </c>
      <c r="AQ2" s="8" t="s">
        <v>64</v>
      </c>
      <c r="AR2" s="11" t="s">
        <v>66</v>
      </c>
      <c r="AS2" s="8" t="s">
        <v>67</v>
      </c>
      <c r="AT2" s="8" t="s">
        <v>68</v>
      </c>
    </row>
    <row r="3" spans="1:46" x14ac:dyDescent="0.3">
      <c r="A3" s="7">
        <v>2</v>
      </c>
      <c r="B3" s="8" t="s">
        <v>196</v>
      </c>
      <c r="C3" s="8" t="s">
        <v>48</v>
      </c>
      <c r="D3" s="7" t="s">
        <v>49</v>
      </c>
      <c r="E3" s="7" t="s">
        <v>49</v>
      </c>
      <c r="F3" s="7">
        <v>0</v>
      </c>
      <c r="G3" s="7">
        <v>0</v>
      </c>
      <c r="H3" s="7">
        <v>1</v>
      </c>
      <c r="I3" s="8" t="s">
        <v>50</v>
      </c>
      <c r="J3" s="8" t="s">
        <v>51</v>
      </c>
      <c r="K3" s="8" t="s">
        <v>52</v>
      </c>
      <c r="L3" s="7">
        <v>1</v>
      </c>
      <c r="M3" s="8" t="s">
        <v>53</v>
      </c>
      <c r="N3" s="8" t="s">
        <v>54</v>
      </c>
      <c r="O3" s="9" t="s">
        <v>55</v>
      </c>
      <c r="P3" s="8" t="s">
        <v>56</v>
      </c>
      <c r="Q3" s="8" t="s">
        <v>57</v>
      </c>
      <c r="R3" s="8" t="s">
        <v>58</v>
      </c>
      <c r="S3" s="7">
        <v>1</v>
      </c>
      <c r="T3" s="7">
        <v>1</v>
      </c>
      <c r="U3" s="10">
        <v>0.65</v>
      </c>
      <c r="V3" s="7">
        <v>1</v>
      </c>
      <c r="W3" s="8" t="s">
        <v>57</v>
      </c>
      <c r="X3" s="8" t="s">
        <v>59</v>
      </c>
      <c r="Y3" s="8" t="s">
        <v>59</v>
      </c>
      <c r="Z3" s="8" t="s">
        <v>59</v>
      </c>
      <c r="AA3" s="8" t="s">
        <v>59</v>
      </c>
      <c r="AB3" s="8" t="s">
        <v>57</v>
      </c>
      <c r="AC3" s="7">
        <v>9.1999999999999998E-2</v>
      </c>
      <c r="AD3" s="8" t="s">
        <v>57</v>
      </c>
      <c r="AE3" s="8" t="s">
        <v>59</v>
      </c>
      <c r="AF3" s="8" t="s">
        <v>60</v>
      </c>
      <c r="AG3" s="8" t="s">
        <v>60</v>
      </c>
      <c r="AH3" s="8" t="s">
        <v>60</v>
      </c>
      <c r="AI3" s="8" t="s">
        <v>60</v>
      </c>
      <c r="AJ3" s="8" t="s">
        <v>61</v>
      </c>
      <c r="AK3" s="8" t="s">
        <v>62</v>
      </c>
      <c r="AL3" s="8" t="s">
        <v>59</v>
      </c>
      <c r="AM3" s="8" t="s">
        <v>59</v>
      </c>
      <c r="AN3" s="8" t="s">
        <v>63</v>
      </c>
      <c r="AO3" s="8" t="s">
        <v>64</v>
      </c>
      <c r="AP3" s="8" t="s">
        <v>65</v>
      </c>
      <c r="AQ3" s="8" t="s">
        <v>64</v>
      </c>
      <c r="AR3" s="11" t="s">
        <v>66</v>
      </c>
      <c r="AS3" s="8" t="s">
        <v>67</v>
      </c>
      <c r="AT3" s="8" t="s">
        <v>68</v>
      </c>
    </row>
    <row r="4" spans="1:46" x14ac:dyDescent="0.3">
      <c r="A4" s="7">
        <v>3</v>
      </c>
      <c r="B4" s="8" t="s">
        <v>69</v>
      </c>
      <c r="C4" s="8" t="s">
        <v>48</v>
      </c>
      <c r="D4" s="7" t="s">
        <v>49</v>
      </c>
      <c r="E4" s="7" t="s">
        <v>49</v>
      </c>
      <c r="F4" s="7">
        <v>0</v>
      </c>
      <c r="G4" s="7">
        <v>0</v>
      </c>
      <c r="H4" s="7">
        <v>1</v>
      </c>
      <c r="I4" s="8" t="s">
        <v>50</v>
      </c>
      <c r="J4" s="8" t="s">
        <v>51</v>
      </c>
      <c r="K4" s="8" t="s">
        <v>52</v>
      </c>
      <c r="L4" s="7">
        <v>1</v>
      </c>
      <c r="M4" s="8" t="s">
        <v>53</v>
      </c>
      <c r="N4" s="8" t="s">
        <v>54</v>
      </c>
      <c r="O4" s="9" t="s">
        <v>55</v>
      </c>
      <c r="P4" s="8" t="s">
        <v>56</v>
      </c>
      <c r="Q4" s="8" t="s">
        <v>57</v>
      </c>
      <c r="R4" s="8" t="s">
        <v>58</v>
      </c>
      <c r="S4" s="7">
        <v>1</v>
      </c>
      <c r="T4" s="7">
        <v>1</v>
      </c>
      <c r="U4" s="10">
        <v>0.65</v>
      </c>
      <c r="V4" s="7">
        <v>1</v>
      </c>
      <c r="W4" s="8" t="s">
        <v>57</v>
      </c>
      <c r="X4" s="8" t="s">
        <v>59</v>
      </c>
      <c r="Y4" s="8" t="s">
        <v>59</v>
      </c>
      <c r="Z4" s="8" t="s">
        <v>59</v>
      </c>
      <c r="AA4" s="8" t="s">
        <v>59</v>
      </c>
      <c r="AB4" s="8" t="s">
        <v>57</v>
      </c>
      <c r="AC4" s="7">
        <v>9.1999999999999998E-2</v>
      </c>
      <c r="AD4" s="8" t="s">
        <v>57</v>
      </c>
      <c r="AE4" s="8" t="s">
        <v>59</v>
      </c>
      <c r="AF4" s="8" t="s">
        <v>60</v>
      </c>
      <c r="AG4" s="8" t="s">
        <v>60</v>
      </c>
      <c r="AH4" s="8" t="s">
        <v>60</v>
      </c>
      <c r="AI4" s="8" t="s">
        <v>70</v>
      </c>
      <c r="AJ4" s="8" t="s">
        <v>61</v>
      </c>
      <c r="AK4" s="8" t="s">
        <v>62</v>
      </c>
      <c r="AL4" s="8" t="s">
        <v>59</v>
      </c>
      <c r="AM4" s="8" t="s">
        <v>59</v>
      </c>
      <c r="AN4" s="8" t="s">
        <v>63</v>
      </c>
      <c r="AO4" s="8" t="s">
        <v>64</v>
      </c>
      <c r="AP4" s="8" t="s">
        <v>64</v>
      </c>
      <c r="AQ4" s="8" t="s">
        <v>64</v>
      </c>
      <c r="AR4" s="11" t="s">
        <v>66</v>
      </c>
      <c r="AS4" s="8" t="s">
        <v>67</v>
      </c>
      <c r="AT4" s="8" t="s">
        <v>68</v>
      </c>
    </row>
    <row r="5" spans="1:46" x14ac:dyDescent="0.3">
      <c r="A5" s="7">
        <v>4</v>
      </c>
      <c r="B5" s="8" t="s">
        <v>71</v>
      </c>
      <c r="C5" s="8" t="s">
        <v>48</v>
      </c>
      <c r="D5" s="7" t="s">
        <v>49</v>
      </c>
      <c r="E5" s="7" t="s">
        <v>49</v>
      </c>
      <c r="F5" s="7">
        <v>0</v>
      </c>
      <c r="G5" s="7">
        <v>0</v>
      </c>
      <c r="H5" s="7">
        <v>1</v>
      </c>
      <c r="I5" s="8" t="s">
        <v>50</v>
      </c>
      <c r="J5" s="8" t="s">
        <v>51</v>
      </c>
      <c r="K5" s="8" t="s">
        <v>52</v>
      </c>
      <c r="L5" s="7">
        <v>1</v>
      </c>
      <c r="M5" s="8" t="s">
        <v>53</v>
      </c>
      <c r="N5" s="8" t="s">
        <v>54</v>
      </c>
      <c r="O5" s="9" t="s">
        <v>55</v>
      </c>
      <c r="P5" s="8" t="s">
        <v>56</v>
      </c>
      <c r="Q5" s="8" t="s">
        <v>57</v>
      </c>
      <c r="R5" s="8" t="s">
        <v>58</v>
      </c>
      <c r="S5" s="7">
        <v>1</v>
      </c>
      <c r="T5" s="7">
        <v>1</v>
      </c>
      <c r="U5" s="10">
        <v>0.65</v>
      </c>
      <c r="V5" s="7">
        <v>1</v>
      </c>
      <c r="W5" s="8" t="s">
        <v>57</v>
      </c>
      <c r="X5" s="8" t="s">
        <v>59</v>
      </c>
      <c r="Y5" s="8" t="s">
        <v>59</v>
      </c>
      <c r="Z5" s="8" t="s">
        <v>59</v>
      </c>
      <c r="AA5" s="8" t="s">
        <v>59</v>
      </c>
      <c r="AB5" s="8" t="s">
        <v>57</v>
      </c>
      <c r="AC5" s="7">
        <v>9.1999999999999998E-2</v>
      </c>
      <c r="AD5" s="8" t="s">
        <v>57</v>
      </c>
      <c r="AE5" s="8" t="s">
        <v>59</v>
      </c>
      <c r="AF5" s="8" t="s">
        <v>60</v>
      </c>
      <c r="AG5" s="8" t="s">
        <v>60</v>
      </c>
      <c r="AH5" s="8" t="s">
        <v>60</v>
      </c>
      <c r="AI5" s="8" t="s">
        <v>70</v>
      </c>
      <c r="AJ5" s="8" t="s">
        <v>61</v>
      </c>
      <c r="AK5" s="8" t="s">
        <v>62</v>
      </c>
      <c r="AL5" s="8" t="s">
        <v>59</v>
      </c>
      <c r="AM5" s="8" t="s">
        <v>59</v>
      </c>
      <c r="AN5" s="8" t="s">
        <v>63</v>
      </c>
      <c r="AO5" s="8" t="s">
        <v>64</v>
      </c>
      <c r="AP5" s="8" t="s">
        <v>65</v>
      </c>
      <c r="AQ5" s="8" t="s">
        <v>64</v>
      </c>
      <c r="AR5" s="11" t="s">
        <v>66</v>
      </c>
      <c r="AS5" s="8" t="s">
        <v>67</v>
      </c>
      <c r="AT5" s="8" t="s">
        <v>68</v>
      </c>
    </row>
    <row r="7" spans="1:46" x14ac:dyDescent="0.3">
      <c r="A7" s="7">
        <v>4</v>
      </c>
      <c r="B7" s="8" t="s">
        <v>72</v>
      </c>
      <c r="C7" s="8" t="s">
        <v>48</v>
      </c>
      <c r="D7" s="7"/>
      <c r="E7" s="7"/>
      <c r="F7" s="7"/>
      <c r="G7" s="7"/>
      <c r="H7" s="7">
        <v>1</v>
      </c>
      <c r="I7" s="8" t="s">
        <v>50</v>
      </c>
      <c r="J7" s="8" t="s">
        <v>51</v>
      </c>
      <c r="K7" s="8" t="s">
        <v>52</v>
      </c>
      <c r="L7" s="7">
        <v>1</v>
      </c>
      <c r="M7" s="8" t="s">
        <v>53</v>
      </c>
      <c r="N7" s="8" t="s">
        <v>54</v>
      </c>
      <c r="O7" s="9" t="s">
        <v>55</v>
      </c>
      <c r="P7" s="8" t="s">
        <v>56</v>
      </c>
      <c r="Q7" s="8" t="s">
        <v>57</v>
      </c>
      <c r="R7" s="8" t="s">
        <v>58</v>
      </c>
      <c r="S7" s="7">
        <v>1</v>
      </c>
      <c r="T7" s="7">
        <v>1</v>
      </c>
      <c r="U7" s="10">
        <v>0.65</v>
      </c>
      <c r="V7" s="7">
        <v>1</v>
      </c>
      <c r="W7" s="8" t="s">
        <v>57</v>
      </c>
      <c r="X7" s="8" t="s">
        <v>59</v>
      </c>
      <c r="Y7" s="8" t="s">
        <v>59</v>
      </c>
      <c r="Z7" s="8" t="s">
        <v>59</v>
      </c>
      <c r="AA7" s="8" t="s">
        <v>59</v>
      </c>
      <c r="AB7" s="8" t="s">
        <v>57</v>
      </c>
      <c r="AC7" s="7">
        <v>9.1999999999999998E-2</v>
      </c>
      <c r="AD7" s="8" t="s">
        <v>57</v>
      </c>
      <c r="AE7" s="8" t="s">
        <v>59</v>
      </c>
      <c r="AF7" s="8" t="s">
        <v>60</v>
      </c>
      <c r="AG7" s="8" t="s">
        <v>60</v>
      </c>
      <c r="AH7" s="8" t="s">
        <v>60</v>
      </c>
      <c r="AI7" s="8" t="s">
        <v>73</v>
      </c>
      <c r="AJ7" s="8" t="s">
        <v>61</v>
      </c>
      <c r="AK7" s="8" t="s">
        <v>62</v>
      </c>
      <c r="AL7" s="8" t="s">
        <v>59</v>
      </c>
      <c r="AM7" s="8" t="s">
        <v>59</v>
      </c>
      <c r="AN7" s="8" t="s">
        <v>63</v>
      </c>
      <c r="AO7" s="8" t="s">
        <v>64</v>
      </c>
      <c r="AP7" s="8" t="s">
        <v>65</v>
      </c>
      <c r="AQ7" s="8" t="s">
        <v>64</v>
      </c>
      <c r="AR7" s="11" t="s">
        <v>66</v>
      </c>
      <c r="AS7" s="8" t="s">
        <v>67</v>
      </c>
      <c r="AT7" s="8" t="s">
        <v>68</v>
      </c>
    </row>
    <row r="8" spans="1:46" x14ac:dyDescent="0.3">
      <c r="A8" s="7">
        <v>5</v>
      </c>
      <c r="B8" s="8" t="s">
        <v>74</v>
      </c>
      <c r="C8" s="8" t="s">
        <v>48</v>
      </c>
      <c r="D8" s="7"/>
      <c r="E8" s="7"/>
      <c r="F8" s="7"/>
      <c r="G8" s="7"/>
      <c r="H8" s="7">
        <v>1</v>
      </c>
      <c r="I8" s="8" t="s">
        <v>50</v>
      </c>
      <c r="J8" s="8" t="s">
        <v>51</v>
      </c>
      <c r="K8" s="8" t="s">
        <v>52</v>
      </c>
      <c r="L8" s="7">
        <v>1</v>
      </c>
      <c r="M8" s="8" t="s">
        <v>53</v>
      </c>
      <c r="N8" s="8" t="s">
        <v>54</v>
      </c>
      <c r="O8" s="9" t="s">
        <v>55</v>
      </c>
      <c r="P8" s="8" t="s">
        <v>56</v>
      </c>
      <c r="Q8" s="8" t="s">
        <v>57</v>
      </c>
      <c r="R8" s="8" t="s">
        <v>58</v>
      </c>
      <c r="S8" s="7">
        <v>1</v>
      </c>
      <c r="T8" s="7">
        <v>1</v>
      </c>
      <c r="U8" s="10">
        <v>0.65</v>
      </c>
      <c r="V8" s="7">
        <v>1</v>
      </c>
      <c r="W8" s="8" t="s">
        <v>57</v>
      </c>
      <c r="X8" s="8" t="s">
        <v>59</v>
      </c>
      <c r="Y8" s="8" t="s">
        <v>59</v>
      </c>
      <c r="Z8" s="8" t="s">
        <v>59</v>
      </c>
      <c r="AA8" s="8" t="s">
        <v>59</v>
      </c>
      <c r="AB8" s="8" t="s">
        <v>57</v>
      </c>
      <c r="AC8" s="7">
        <v>9.1999999999999998E-2</v>
      </c>
      <c r="AD8" s="8" t="s">
        <v>57</v>
      </c>
      <c r="AE8" s="8" t="s">
        <v>59</v>
      </c>
      <c r="AF8" s="8" t="s">
        <v>60</v>
      </c>
      <c r="AG8" s="8" t="s">
        <v>60</v>
      </c>
      <c r="AH8" s="8" t="s">
        <v>60</v>
      </c>
      <c r="AI8" s="8" t="s">
        <v>75</v>
      </c>
      <c r="AJ8" s="8" t="s">
        <v>61</v>
      </c>
      <c r="AK8" s="8" t="s">
        <v>62</v>
      </c>
      <c r="AL8" s="8" t="s">
        <v>59</v>
      </c>
      <c r="AM8" s="8" t="s">
        <v>59</v>
      </c>
      <c r="AN8" s="8" t="s">
        <v>63</v>
      </c>
      <c r="AO8" s="8" t="s">
        <v>64</v>
      </c>
      <c r="AP8" s="8" t="s">
        <v>65</v>
      </c>
      <c r="AQ8" s="8" t="s">
        <v>64</v>
      </c>
      <c r="AR8" s="11" t="s">
        <v>66</v>
      </c>
      <c r="AS8" s="8" t="s">
        <v>67</v>
      </c>
      <c r="AT8" s="8" t="s">
        <v>68</v>
      </c>
    </row>
    <row r="9" spans="1:46" x14ac:dyDescent="0.3">
      <c r="A9" s="7">
        <v>6</v>
      </c>
      <c r="B9" s="8" t="s">
        <v>76</v>
      </c>
      <c r="C9" s="8" t="s">
        <v>48</v>
      </c>
      <c r="D9" s="7"/>
      <c r="E9" s="7"/>
      <c r="F9" s="7"/>
      <c r="G9" s="7"/>
      <c r="H9" s="7">
        <v>1</v>
      </c>
      <c r="I9" s="8" t="s">
        <v>77</v>
      </c>
      <c r="J9" s="8" t="s">
        <v>51</v>
      </c>
      <c r="K9" s="8" t="s">
        <v>52</v>
      </c>
      <c r="L9" s="7">
        <v>1</v>
      </c>
      <c r="M9" s="8" t="s">
        <v>53</v>
      </c>
      <c r="N9" s="8" t="s">
        <v>54</v>
      </c>
      <c r="O9" s="9" t="s">
        <v>55</v>
      </c>
      <c r="P9" s="8" t="s">
        <v>56</v>
      </c>
      <c r="Q9" s="8" t="s">
        <v>57</v>
      </c>
      <c r="R9" s="8" t="s">
        <v>58</v>
      </c>
      <c r="S9" s="7">
        <v>1</v>
      </c>
      <c r="T9" s="7">
        <v>1</v>
      </c>
      <c r="U9" s="10">
        <v>0.65</v>
      </c>
      <c r="V9" s="7">
        <v>1</v>
      </c>
      <c r="W9" s="8" t="s">
        <v>57</v>
      </c>
      <c r="X9" s="8" t="s">
        <v>59</v>
      </c>
      <c r="Y9" s="8" t="s">
        <v>59</v>
      </c>
      <c r="Z9" s="8" t="s">
        <v>59</v>
      </c>
      <c r="AA9" s="8" t="s">
        <v>59</v>
      </c>
      <c r="AB9" s="8" t="s">
        <v>57</v>
      </c>
      <c r="AC9" s="7">
        <v>9.1999999999999998E-2</v>
      </c>
      <c r="AD9" s="8" t="s">
        <v>57</v>
      </c>
      <c r="AE9" s="8" t="s">
        <v>59</v>
      </c>
      <c r="AF9" s="8" t="s">
        <v>60</v>
      </c>
      <c r="AG9" s="8" t="s">
        <v>60</v>
      </c>
      <c r="AH9" s="8" t="s">
        <v>60</v>
      </c>
      <c r="AI9" s="8" t="s">
        <v>60</v>
      </c>
      <c r="AJ9" s="8" t="s">
        <v>61</v>
      </c>
      <c r="AK9" s="8" t="s">
        <v>78</v>
      </c>
      <c r="AL9" s="8" t="s">
        <v>59</v>
      </c>
      <c r="AM9" s="8" t="s">
        <v>59</v>
      </c>
      <c r="AN9" s="8" t="s">
        <v>63</v>
      </c>
      <c r="AO9" s="8" t="s">
        <v>64</v>
      </c>
      <c r="AP9" s="8" t="s">
        <v>65</v>
      </c>
      <c r="AQ9" s="8" t="s">
        <v>64</v>
      </c>
      <c r="AR9" s="11" t="s">
        <v>66</v>
      </c>
      <c r="AS9" s="8" t="s">
        <v>67</v>
      </c>
      <c r="AT9" s="8" t="s">
        <v>68</v>
      </c>
    </row>
    <row r="10" spans="1:46" x14ac:dyDescent="0.3">
      <c r="A10" s="7">
        <v>7</v>
      </c>
      <c r="B10" s="8" t="s">
        <v>79</v>
      </c>
      <c r="C10" s="8" t="s">
        <v>48</v>
      </c>
      <c r="D10" s="7"/>
      <c r="E10" s="7"/>
      <c r="F10" s="7"/>
      <c r="G10" s="7"/>
      <c r="H10" s="7">
        <v>1</v>
      </c>
      <c r="I10" s="8" t="s">
        <v>80</v>
      </c>
      <c r="J10" s="8" t="s">
        <v>51</v>
      </c>
      <c r="K10" s="8" t="s">
        <v>52</v>
      </c>
      <c r="L10" s="7">
        <v>1</v>
      </c>
      <c r="M10" s="8" t="s">
        <v>53</v>
      </c>
      <c r="N10" s="8" t="s">
        <v>54</v>
      </c>
      <c r="O10" s="9" t="s">
        <v>55</v>
      </c>
      <c r="P10" s="8" t="s">
        <v>56</v>
      </c>
      <c r="Q10" s="8" t="s">
        <v>57</v>
      </c>
      <c r="R10" s="8" t="s">
        <v>58</v>
      </c>
      <c r="S10" s="7">
        <v>1</v>
      </c>
      <c r="T10" s="7">
        <v>1</v>
      </c>
      <c r="U10" s="10">
        <v>0.65</v>
      </c>
      <c r="V10" s="7">
        <v>1</v>
      </c>
      <c r="W10" s="8" t="s">
        <v>57</v>
      </c>
      <c r="X10" s="8" t="s">
        <v>59</v>
      </c>
      <c r="Y10" s="8" t="s">
        <v>59</v>
      </c>
      <c r="Z10" s="8" t="s">
        <v>59</v>
      </c>
      <c r="AA10" s="8" t="s">
        <v>59</v>
      </c>
      <c r="AB10" s="8" t="s">
        <v>57</v>
      </c>
      <c r="AC10" s="7">
        <v>9.1999999999999998E-2</v>
      </c>
      <c r="AD10" s="8" t="s">
        <v>57</v>
      </c>
      <c r="AE10" s="8" t="s">
        <v>59</v>
      </c>
      <c r="AF10" s="8" t="s">
        <v>60</v>
      </c>
      <c r="AG10" s="8" t="s">
        <v>60</v>
      </c>
      <c r="AH10" s="8" t="s">
        <v>60</v>
      </c>
      <c r="AI10" s="8" t="s">
        <v>60</v>
      </c>
      <c r="AJ10" s="8" t="s">
        <v>61</v>
      </c>
      <c r="AK10" s="8" t="s">
        <v>78</v>
      </c>
      <c r="AL10" s="8" t="s">
        <v>59</v>
      </c>
      <c r="AM10" s="8" t="s">
        <v>59</v>
      </c>
      <c r="AN10" s="8" t="s">
        <v>63</v>
      </c>
      <c r="AO10" s="8" t="s">
        <v>64</v>
      </c>
      <c r="AP10" s="8" t="s">
        <v>65</v>
      </c>
      <c r="AQ10" s="8" t="s">
        <v>64</v>
      </c>
      <c r="AR10" s="11" t="s">
        <v>66</v>
      </c>
      <c r="AS10" s="8" t="s">
        <v>67</v>
      </c>
      <c r="AT10" s="8" t="s">
        <v>68</v>
      </c>
    </row>
    <row r="11" spans="1:46" x14ac:dyDescent="0.3">
      <c r="A11" s="7">
        <v>8</v>
      </c>
      <c r="B11" s="8" t="s">
        <v>81</v>
      </c>
      <c r="C11" s="8" t="s">
        <v>48</v>
      </c>
      <c r="D11" s="7"/>
      <c r="E11" s="7"/>
      <c r="F11" s="7"/>
      <c r="G11" s="7"/>
      <c r="H11" s="7">
        <v>1</v>
      </c>
      <c r="I11" s="8" t="s">
        <v>82</v>
      </c>
      <c r="J11" s="8" t="s">
        <v>51</v>
      </c>
      <c r="K11" s="8" t="s">
        <v>52</v>
      </c>
      <c r="L11" s="7">
        <v>1</v>
      </c>
      <c r="M11" s="8" t="s">
        <v>53</v>
      </c>
      <c r="N11" s="8" t="s">
        <v>54</v>
      </c>
      <c r="O11" s="9" t="s">
        <v>55</v>
      </c>
      <c r="P11" s="8" t="s">
        <v>56</v>
      </c>
      <c r="Q11" s="8" t="s">
        <v>57</v>
      </c>
      <c r="R11" s="8" t="s">
        <v>58</v>
      </c>
      <c r="S11" s="7">
        <v>1</v>
      </c>
      <c r="T11" s="7">
        <v>1</v>
      </c>
      <c r="U11" s="10">
        <v>0.65</v>
      </c>
      <c r="V11" s="7">
        <v>1</v>
      </c>
      <c r="W11" s="8" t="s">
        <v>57</v>
      </c>
      <c r="X11" s="8" t="s">
        <v>59</v>
      </c>
      <c r="Y11" s="8" t="s">
        <v>59</v>
      </c>
      <c r="Z11" s="8" t="s">
        <v>59</v>
      </c>
      <c r="AA11" s="8" t="s">
        <v>59</v>
      </c>
      <c r="AB11" s="8" t="s">
        <v>57</v>
      </c>
      <c r="AC11" s="7">
        <v>9.1999999999999998E-2</v>
      </c>
      <c r="AD11" s="8" t="s">
        <v>57</v>
      </c>
      <c r="AE11" s="8" t="s">
        <v>59</v>
      </c>
      <c r="AF11" s="8" t="s">
        <v>60</v>
      </c>
      <c r="AG11" s="8" t="s">
        <v>60</v>
      </c>
      <c r="AH11" s="8" t="s">
        <v>60</v>
      </c>
      <c r="AI11" s="8" t="s">
        <v>60</v>
      </c>
      <c r="AJ11" s="8" t="s">
        <v>61</v>
      </c>
      <c r="AK11" s="8" t="s">
        <v>78</v>
      </c>
      <c r="AL11" s="8" t="s">
        <v>59</v>
      </c>
      <c r="AM11" s="8" t="s">
        <v>59</v>
      </c>
      <c r="AN11" s="8" t="s">
        <v>63</v>
      </c>
      <c r="AO11" s="8" t="s">
        <v>64</v>
      </c>
      <c r="AP11" s="8" t="s">
        <v>65</v>
      </c>
      <c r="AQ11" s="8" t="s">
        <v>64</v>
      </c>
      <c r="AR11" s="11" t="s">
        <v>66</v>
      </c>
      <c r="AS11" s="8" t="s">
        <v>67</v>
      </c>
      <c r="AT11" s="8" t="s">
        <v>68</v>
      </c>
    </row>
    <row r="12" spans="1:46" x14ac:dyDescent="0.3">
      <c r="A12" s="7">
        <v>9</v>
      </c>
      <c r="B12" s="8" t="s">
        <v>83</v>
      </c>
      <c r="C12" s="8" t="s">
        <v>48</v>
      </c>
      <c r="D12" s="7"/>
      <c r="E12" s="7"/>
      <c r="F12" s="7"/>
      <c r="G12" s="7"/>
      <c r="H12" s="7">
        <v>1</v>
      </c>
      <c r="I12" s="8" t="s">
        <v>84</v>
      </c>
      <c r="J12" s="8" t="s">
        <v>51</v>
      </c>
      <c r="K12" s="8" t="s">
        <v>52</v>
      </c>
      <c r="L12" s="7">
        <v>1</v>
      </c>
      <c r="M12" s="8" t="s">
        <v>53</v>
      </c>
      <c r="N12" s="8" t="s">
        <v>54</v>
      </c>
      <c r="O12" s="9" t="s">
        <v>55</v>
      </c>
      <c r="P12" s="8" t="s">
        <v>56</v>
      </c>
      <c r="Q12" s="8" t="s">
        <v>57</v>
      </c>
      <c r="R12" s="8" t="s">
        <v>58</v>
      </c>
      <c r="S12" s="7">
        <v>1</v>
      </c>
      <c r="T12" s="7">
        <v>1</v>
      </c>
      <c r="U12" s="10">
        <v>0.65</v>
      </c>
      <c r="V12" s="7">
        <v>1</v>
      </c>
      <c r="W12" s="8" t="s">
        <v>57</v>
      </c>
      <c r="X12" s="8" t="s">
        <v>59</v>
      </c>
      <c r="Y12" s="8" t="s">
        <v>59</v>
      </c>
      <c r="Z12" s="8" t="s">
        <v>59</v>
      </c>
      <c r="AA12" s="8" t="s">
        <v>59</v>
      </c>
      <c r="AB12" s="8" t="s">
        <v>57</v>
      </c>
      <c r="AC12" s="7">
        <v>9.1999999999999998E-2</v>
      </c>
      <c r="AD12" s="8" t="s">
        <v>57</v>
      </c>
      <c r="AE12" s="8" t="s">
        <v>59</v>
      </c>
      <c r="AF12" s="8" t="s">
        <v>60</v>
      </c>
      <c r="AG12" s="8" t="s">
        <v>60</v>
      </c>
      <c r="AH12" s="8" t="s">
        <v>60</v>
      </c>
      <c r="AI12" s="8" t="s">
        <v>60</v>
      </c>
      <c r="AJ12" s="8" t="s">
        <v>61</v>
      </c>
      <c r="AK12" s="8" t="s">
        <v>78</v>
      </c>
      <c r="AL12" s="8" t="s">
        <v>59</v>
      </c>
      <c r="AM12" s="8" t="s">
        <v>59</v>
      </c>
      <c r="AN12" s="8" t="s">
        <v>63</v>
      </c>
      <c r="AO12" s="8" t="s">
        <v>64</v>
      </c>
      <c r="AP12" s="8" t="s">
        <v>65</v>
      </c>
      <c r="AQ12" s="8" t="s">
        <v>64</v>
      </c>
      <c r="AR12" s="11" t="s">
        <v>66</v>
      </c>
      <c r="AS12" s="8" t="s">
        <v>67</v>
      </c>
      <c r="AT12" s="8" t="s">
        <v>68</v>
      </c>
    </row>
    <row r="13" spans="1:46" x14ac:dyDescent="0.3">
      <c r="A13" s="7">
        <v>10</v>
      </c>
      <c r="B13" s="8" t="s">
        <v>85</v>
      </c>
      <c r="C13" s="8" t="s">
        <v>48</v>
      </c>
      <c r="D13" s="7"/>
      <c r="E13" s="7"/>
      <c r="F13" s="7"/>
      <c r="G13" s="7"/>
      <c r="H13" s="7">
        <v>1</v>
      </c>
      <c r="I13" s="8" t="s">
        <v>86</v>
      </c>
      <c r="J13" s="8" t="s">
        <v>51</v>
      </c>
      <c r="K13" s="8" t="s">
        <v>52</v>
      </c>
      <c r="L13" s="7">
        <v>1</v>
      </c>
      <c r="M13" s="8" t="s">
        <v>53</v>
      </c>
      <c r="N13" s="8" t="s">
        <v>54</v>
      </c>
      <c r="O13" s="9" t="s">
        <v>55</v>
      </c>
      <c r="P13" s="8" t="s">
        <v>56</v>
      </c>
      <c r="Q13" s="8" t="s">
        <v>57</v>
      </c>
      <c r="R13" s="8" t="s">
        <v>58</v>
      </c>
      <c r="S13" s="7">
        <v>1</v>
      </c>
      <c r="T13" s="7">
        <v>1</v>
      </c>
      <c r="U13" s="10">
        <v>0.65</v>
      </c>
      <c r="V13" s="7">
        <v>1</v>
      </c>
      <c r="W13" s="8" t="s">
        <v>57</v>
      </c>
      <c r="X13" s="8" t="s">
        <v>59</v>
      </c>
      <c r="Y13" s="8" t="s">
        <v>59</v>
      </c>
      <c r="Z13" s="8" t="s">
        <v>59</v>
      </c>
      <c r="AA13" s="8" t="s">
        <v>59</v>
      </c>
      <c r="AB13" s="8" t="s">
        <v>57</v>
      </c>
      <c r="AC13" s="7">
        <v>9.1999999999999998E-2</v>
      </c>
      <c r="AD13" s="8" t="s">
        <v>57</v>
      </c>
      <c r="AE13" s="8" t="s">
        <v>59</v>
      </c>
      <c r="AF13" s="8" t="s">
        <v>60</v>
      </c>
      <c r="AG13" s="8" t="s">
        <v>60</v>
      </c>
      <c r="AH13" s="8" t="s">
        <v>60</v>
      </c>
      <c r="AI13" s="8" t="s">
        <v>60</v>
      </c>
      <c r="AJ13" s="8" t="s">
        <v>61</v>
      </c>
      <c r="AK13" s="8" t="s">
        <v>78</v>
      </c>
      <c r="AL13" s="8" t="s">
        <v>59</v>
      </c>
      <c r="AM13" s="8" t="s">
        <v>59</v>
      </c>
      <c r="AN13" s="8" t="s">
        <v>63</v>
      </c>
      <c r="AO13" s="8" t="s">
        <v>64</v>
      </c>
      <c r="AP13" s="8" t="s">
        <v>65</v>
      </c>
      <c r="AQ13" s="8" t="s">
        <v>64</v>
      </c>
      <c r="AR13" s="11" t="s">
        <v>66</v>
      </c>
      <c r="AS13" s="8" t="s">
        <v>67</v>
      </c>
      <c r="AT13" s="8" t="s">
        <v>68</v>
      </c>
    </row>
    <row r="14" spans="1:46" x14ac:dyDescent="0.3">
      <c r="A14" s="7">
        <v>11</v>
      </c>
      <c r="B14" s="8" t="s">
        <v>87</v>
      </c>
      <c r="C14" s="8" t="s">
        <v>48</v>
      </c>
      <c r="D14" s="7"/>
      <c r="E14" s="7"/>
      <c r="F14" s="7"/>
      <c r="G14" s="7"/>
      <c r="H14" s="7">
        <v>1</v>
      </c>
      <c r="I14" s="8" t="s">
        <v>88</v>
      </c>
      <c r="J14" s="8" t="s">
        <v>51</v>
      </c>
      <c r="K14" s="8" t="s">
        <v>52</v>
      </c>
      <c r="L14" s="7">
        <v>1</v>
      </c>
      <c r="M14" s="8" t="s">
        <v>53</v>
      </c>
      <c r="N14" s="8" t="s">
        <v>54</v>
      </c>
      <c r="O14" s="9" t="s">
        <v>55</v>
      </c>
      <c r="P14" s="8" t="s">
        <v>56</v>
      </c>
      <c r="Q14" s="8" t="s">
        <v>57</v>
      </c>
      <c r="R14" s="8" t="s">
        <v>58</v>
      </c>
      <c r="S14" s="7">
        <v>1</v>
      </c>
      <c r="T14" s="7">
        <v>1</v>
      </c>
      <c r="U14" s="10">
        <v>0.65</v>
      </c>
      <c r="V14" s="7">
        <v>1</v>
      </c>
      <c r="W14" s="8" t="s">
        <v>57</v>
      </c>
      <c r="X14" s="8" t="s">
        <v>59</v>
      </c>
      <c r="Y14" s="8" t="s">
        <v>59</v>
      </c>
      <c r="Z14" s="8" t="s">
        <v>59</v>
      </c>
      <c r="AA14" s="8" t="s">
        <v>59</v>
      </c>
      <c r="AB14" s="8" t="s">
        <v>57</v>
      </c>
      <c r="AC14" s="7">
        <v>9.1999999999999998E-2</v>
      </c>
      <c r="AD14" s="8" t="s">
        <v>57</v>
      </c>
      <c r="AE14" s="8" t="s">
        <v>59</v>
      </c>
      <c r="AF14" s="8" t="s">
        <v>60</v>
      </c>
      <c r="AG14" s="8" t="s">
        <v>60</v>
      </c>
      <c r="AH14" s="8" t="s">
        <v>60</v>
      </c>
      <c r="AI14" s="8" t="s">
        <v>60</v>
      </c>
      <c r="AJ14" s="8" t="s">
        <v>61</v>
      </c>
      <c r="AK14" s="8" t="s">
        <v>78</v>
      </c>
      <c r="AL14" s="8" t="s">
        <v>59</v>
      </c>
      <c r="AM14" s="8" t="s">
        <v>59</v>
      </c>
      <c r="AN14" s="8" t="s">
        <v>63</v>
      </c>
      <c r="AO14" s="8" t="s">
        <v>64</v>
      </c>
      <c r="AP14" s="8" t="s">
        <v>65</v>
      </c>
      <c r="AQ14" s="8" t="s">
        <v>64</v>
      </c>
      <c r="AR14" s="11" t="s">
        <v>66</v>
      </c>
      <c r="AS14" s="8" t="s">
        <v>67</v>
      </c>
      <c r="AT14" s="8" t="s">
        <v>68</v>
      </c>
    </row>
    <row r="15" spans="1:46" x14ac:dyDescent="0.3">
      <c r="A15" s="7">
        <v>12</v>
      </c>
      <c r="B15" s="8" t="s">
        <v>89</v>
      </c>
      <c r="C15" s="8" t="s">
        <v>48</v>
      </c>
      <c r="D15" s="7"/>
      <c r="E15" s="7"/>
      <c r="F15" s="7"/>
      <c r="G15" s="7"/>
      <c r="H15" s="7">
        <v>1</v>
      </c>
      <c r="I15" s="8" t="s">
        <v>90</v>
      </c>
      <c r="J15" s="8" t="s">
        <v>51</v>
      </c>
      <c r="K15" s="8" t="s">
        <v>52</v>
      </c>
      <c r="L15" s="7">
        <v>1</v>
      </c>
      <c r="M15" s="8" t="s">
        <v>53</v>
      </c>
      <c r="N15" s="8" t="s">
        <v>54</v>
      </c>
      <c r="O15" s="9" t="s">
        <v>55</v>
      </c>
      <c r="P15" s="8" t="s">
        <v>56</v>
      </c>
      <c r="Q15" s="8" t="s">
        <v>57</v>
      </c>
      <c r="R15" s="8" t="s">
        <v>58</v>
      </c>
      <c r="S15" s="7">
        <v>1</v>
      </c>
      <c r="T15" s="7">
        <v>1</v>
      </c>
      <c r="U15" s="10">
        <v>0.65</v>
      </c>
      <c r="V15" s="7">
        <v>1</v>
      </c>
      <c r="W15" s="8" t="s">
        <v>57</v>
      </c>
      <c r="X15" s="8" t="s">
        <v>59</v>
      </c>
      <c r="Y15" s="8" t="s">
        <v>59</v>
      </c>
      <c r="Z15" s="8" t="s">
        <v>59</v>
      </c>
      <c r="AA15" s="8" t="s">
        <v>59</v>
      </c>
      <c r="AB15" s="8" t="s">
        <v>57</v>
      </c>
      <c r="AC15" s="7">
        <v>9.1999999999999998E-2</v>
      </c>
      <c r="AD15" s="8" t="s">
        <v>57</v>
      </c>
      <c r="AE15" s="8" t="s">
        <v>59</v>
      </c>
      <c r="AF15" s="8" t="s">
        <v>60</v>
      </c>
      <c r="AG15" s="8" t="s">
        <v>60</v>
      </c>
      <c r="AH15" s="8" t="s">
        <v>60</v>
      </c>
      <c r="AI15" s="8" t="s">
        <v>60</v>
      </c>
      <c r="AJ15" s="8" t="s">
        <v>61</v>
      </c>
      <c r="AK15" s="8" t="s">
        <v>78</v>
      </c>
      <c r="AL15" s="8" t="s">
        <v>59</v>
      </c>
      <c r="AM15" s="8" t="s">
        <v>59</v>
      </c>
      <c r="AN15" s="8" t="s">
        <v>63</v>
      </c>
      <c r="AO15" s="8" t="s">
        <v>64</v>
      </c>
      <c r="AP15" s="8" t="s">
        <v>65</v>
      </c>
      <c r="AQ15" s="8" t="s">
        <v>64</v>
      </c>
      <c r="AR15" s="11" t="s">
        <v>66</v>
      </c>
      <c r="AS15" s="8" t="s">
        <v>67</v>
      </c>
      <c r="AT15" s="8" t="s">
        <v>68</v>
      </c>
    </row>
    <row r="16" spans="1:46" x14ac:dyDescent="0.3">
      <c r="A16" s="7">
        <v>13</v>
      </c>
      <c r="B16" s="8" t="s">
        <v>91</v>
      </c>
      <c r="C16" s="8" t="s">
        <v>48</v>
      </c>
      <c r="D16" s="7"/>
      <c r="E16" s="7"/>
      <c r="F16" s="7"/>
      <c r="G16" s="7"/>
      <c r="H16" s="7">
        <v>1</v>
      </c>
      <c r="I16" s="8" t="s">
        <v>92</v>
      </c>
      <c r="J16" s="8" t="s">
        <v>51</v>
      </c>
      <c r="K16" s="8" t="s">
        <v>52</v>
      </c>
      <c r="L16" s="7">
        <v>1</v>
      </c>
      <c r="M16" s="8" t="s">
        <v>53</v>
      </c>
      <c r="N16" s="8" t="s">
        <v>54</v>
      </c>
      <c r="O16" s="9" t="s">
        <v>55</v>
      </c>
      <c r="P16" s="8" t="s">
        <v>56</v>
      </c>
      <c r="Q16" s="8" t="s">
        <v>57</v>
      </c>
      <c r="R16" s="8" t="s">
        <v>58</v>
      </c>
      <c r="S16" s="7">
        <v>1</v>
      </c>
      <c r="T16" s="7">
        <v>1</v>
      </c>
      <c r="U16" s="10">
        <v>0.65</v>
      </c>
      <c r="V16" s="7">
        <v>1</v>
      </c>
      <c r="W16" s="8" t="s">
        <v>57</v>
      </c>
      <c r="X16" s="8" t="s">
        <v>59</v>
      </c>
      <c r="Y16" s="8" t="s">
        <v>59</v>
      </c>
      <c r="Z16" s="8" t="s">
        <v>59</v>
      </c>
      <c r="AA16" s="8" t="s">
        <v>59</v>
      </c>
      <c r="AB16" s="8" t="s">
        <v>57</v>
      </c>
      <c r="AC16" s="7">
        <v>9.1999999999999998E-2</v>
      </c>
      <c r="AD16" s="8" t="s">
        <v>57</v>
      </c>
      <c r="AE16" s="8" t="s">
        <v>59</v>
      </c>
      <c r="AF16" s="8" t="s">
        <v>60</v>
      </c>
      <c r="AG16" s="8" t="s">
        <v>60</v>
      </c>
      <c r="AH16" s="8" t="s">
        <v>60</v>
      </c>
      <c r="AI16" s="8" t="s">
        <v>60</v>
      </c>
      <c r="AJ16" s="8" t="s">
        <v>61</v>
      </c>
      <c r="AK16" s="8" t="s">
        <v>78</v>
      </c>
      <c r="AL16" s="8" t="s">
        <v>59</v>
      </c>
      <c r="AM16" s="8" t="s">
        <v>59</v>
      </c>
      <c r="AN16" s="8" t="s">
        <v>63</v>
      </c>
      <c r="AO16" s="8" t="s">
        <v>64</v>
      </c>
      <c r="AP16" s="8" t="s">
        <v>65</v>
      </c>
      <c r="AQ16" s="8" t="s">
        <v>64</v>
      </c>
      <c r="AR16" s="11" t="s">
        <v>66</v>
      </c>
      <c r="AS16" s="8" t="s">
        <v>67</v>
      </c>
      <c r="AT16" s="8" t="s">
        <v>68</v>
      </c>
    </row>
    <row r="17" spans="1:46" x14ac:dyDescent="0.3">
      <c r="A17" s="7">
        <v>14</v>
      </c>
      <c r="B17" s="8" t="s">
        <v>93</v>
      </c>
      <c r="C17" s="8" t="s">
        <v>48</v>
      </c>
      <c r="D17" s="7"/>
      <c r="E17" s="7"/>
      <c r="F17" s="7"/>
      <c r="G17" s="7"/>
      <c r="H17" s="7">
        <v>1</v>
      </c>
      <c r="I17" s="8" t="s">
        <v>94</v>
      </c>
      <c r="J17" s="8" t="s">
        <v>51</v>
      </c>
      <c r="K17" s="8" t="s">
        <v>52</v>
      </c>
      <c r="L17" s="7">
        <v>1</v>
      </c>
      <c r="M17" s="8" t="s">
        <v>53</v>
      </c>
      <c r="N17" s="8" t="s">
        <v>54</v>
      </c>
      <c r="O17" s="9" t="s">
        <v>55</v>
      </c>
      <c r="P17" s="8" t="s">
        <v>56</v>
      </c>
      <c r="Q17" s="8" t="s">
        <v>57</v>
      </c>
      <c r="R17" s="8" t="s">
        <v>58</v>
      </c>
      <c r="S17" s="7">
        <v>1</v>
      </c>
      <c r="T17" s="7">
        <v>1</v>
      </c>
      <c r="U17" s="10">
        <v>0.65</v>
      </c>
      <c r="V17" s="7">
        <v>1</v>
      </c>
      <c r="W17" s="8" t="s">
        <v>57</v>
      </c>
      <c r="X17" s="8" t="s">
        <v>59</v>
      </c>
      <c r="Y17" s="8" t="s">
        <v>59</v>
      </c>
      <c r="Z17" s="8" t="s">
        <v>59</v>
      </c>
      <c r="AA17" s="8" t="s">
        <v>59</v>
      </c>
      <c r="AB17" s="8" t="s">
        <v>57</v>
      </c>
      <c r="AC17" s="7">
        <v>9.1999999999999998E-2</v>
      </c>
      <c r="AD17" s="8" t="s">
        <v>57</v>
      </c>
      <c r="AE17" s="8" t="s">
        <v>59</v>
      </c>
      <c r="AF17" s="8" t="s">
        <v>60</v>
      </c>
      <c r="AG17" s="8" t="s">
        <v>60</v>
      </c>
      <c r="AH17" s="8" t="s">
        <v>60</v>
      </c>
      <c r="AI17" s="8" t="s">
        <v>60</v>
      </c>
      <c r="AJ17" s="8" t="s">
        <v>61</v>
      </c>
      <c r="AK17" s="8" t="s">
        <v>78</v>
      </c>
      <c r="AL17" s="8" t="s">
        <v>59</v>
      </c>
      <c r="AM17" s="8" t="s">
        <v>59</v>
      </c>
      <c r="AN17" s="8" t="s">
        <v>63</v>
      </c>
      <c r="AO17" s="8" t="s">
        <v>64</v>
      </c>
      <c r="AP17" s="8" t="s">
        <v>65</v>
      </c>
      <c r="AQ17" s="8" t="s">
        <v>64</v>
      </c>
      <c r="AR17" s="11" t="s">
        <v>66</v>
      </c>
      <c r="AS17" s="8" t="s">
        <v>67</v>
      </c>
      <c r="AT17" s="8" t="s">
        <v>68</v>
      </c>
    </row>
    <row r="18" spans="1:46" x14ac:dyDescent="0.3">
      <c r="A18" s="7">
        <v>15</v>
      </c>
      <c r="B18" s="8" t="s">
        <v>95</v>
      </c>
      <c r="C18" s="8" t="s">
        <v>48</v>
      </c>
      <c r="D18" s="7"/>
      <c r="E18" s="7"/>
      <c r="F18" s="7"/>
      <c r="G18" s="7"/>
      <c r="H18" s="7">
        <v>1</v>
      </c>
      <c r="I18" s="8" t="s">
        <v>96</v>
      </c>
      <c r="J18" s="8" t="s">
        <v>51</v>
      </c>
      <c r="K18" s="8" t="s">
        <v>52</v>
      </c>
      <c r="L18" s="7">
        <v>1</v>
      </c>
      <c r="M18" s="8" t="s">
        <v>53</v>
      </c>
      <c r="N18" s="8" t="s">
        <v>54</v>
      </c>
      <c r="O18" s="9" t="s">
        <v>55</v>
      </c>
      <c r="P18" s="8" t="s">
        <v>56</v>
      </c>
      <c r="Q18" s="8" t="s">
        <v>57</v>
      </c>
      <c r="R18" s="8" t="s">
        <v>58</v>
      </c>
      <c r="S18" s="7">
        <v>1</v>
      </c>
      <c r="T18" s="7">
        <v>1</v>
      </c>
      <c r="U18" s="10">
        <v>0.65</v>
      </c>
      <c r="V18" s="7">
        <v>1</v>
      </c>
      <c r="W18" s="8" t="s">
        <v>57</v>
      </c>
      <c r="X18" s="8" t="s">
        <v>59</v>
      </c>
      <c r="Y18" s="8" t="s">
        <v>59</v>
      </c>
      <c r="Z18" s="8" t="s">
        <v>59</v>
      </c>
      <c r="AA18" s="8" t="s">
        <v>59</v>
      </c>
      <c r="AB18" s="8" t="s">
        <v>57</v>
      </c>
      <c r="AC18" s="7">
        <v>9.1999999999999998E-2</v>
      </c>
      <c r="AD18" s="8" t="s">
        <v>57</v>
      </c>
      <c r="AE18" s="8" t="s">
        <v>59</v>
      </c>
      <c r="AF18" s="8" t="s">
        <v>60</v>
      </c>
      <c r="AG18" s="8" t="s">
        <v>60</v>
      </c>
      <c r="AH18" s="8" t="s">
        <v>60</v>
      </c>
      <c r="AI18" s="8" t="s">
        <v>60</v>
      </c>
      <c r="AJ18" s="8" t="s">
        <v>61</v>
      </c>
      <c r="AK18" s="8" t="s">
        <v>78</v>
      </c>
      <c r="AL18" s="8" t="s">
        <v>59</v>
      </c>
      <c r="AM18" s="8" t="s">
        <v>59</v>
      </c>
      <c r="AN18" s="8" t="s">
        <v>63</v>
      </c>
      <c r="AO18" s="8" t="s">
        <v>64</v>
      </c>
      <c r="AP18" s="8" t="s">
        <v>65</v>
      </c>
      <c r="AQ18" s="8" t="s">
        <v>64</v>
      </c>
      <c r="AR18" s="11" t="s">
        <v>66</v>
      </c>
      <c r="AS18" s="8" t="s">
        <v>67</v>
      </c>
      <c r="AT18" s="8" t="s">
        <v>68</v>
      </c>
    </row>
    <row r="20" spans="1:46" ht="362.4" customHeight="1" x14ac:dyDescent="0.3">
      <c r="A20" s="12"/>
      <c r="B20" s="13"/>
      <c r="C20" s="14" t="s">
        <v>97</v>
      </c>
      <c r="D20" s="14" t="s">
        <v>98</v>
      </c>
      <c r="E20" s="14" t="s">
        <v>99</v>
      </c>
      <c r="F20" s="12" t="s">
        <v>100</v>
      </c>
      <c r="G20" s="14" t="s">
        <v>101</v>
      </c>
      <c r="H20" s="12" t="s">
        <v>102</v>
      </c>
      <c r="I20" s="14" t="s">
        <v>103</v>
      </c>
      <c r="J20" s="14" t="s">
        <v>104</v>
      </c>
      <c r="K20" s="14" t="s">
        <v>105</v>
      </c>
      <c r="L20" s="12" t="s">
        <v>106</v>
      </c>
      <c r="M20" s="14" t="s">
        <v>107</v>
      </c>
      <c r="N20" s="14" t="s">
        <v>108</v>
      </c>
      <c r="O20" s="14" t="s">
        <v>109</v>
      </c>
      <c r="P20" s="14" t="s">
        <v>110</v>
      </c>
      <c r="Q20" s="14" t="s">
        <v>111</v>
      </c>
      <c r="R20" s="14" t="s">
        <v>112</v>
      </c>
      <c r="S20" s="12" t="s">
        <v>113</v>
      </c>
      <c r="T20" s="12" t="s">
        <v>114</v>
      </c>
      <c r="U20" s="15" t="s">
        <v>115</v>
      </c>
      <c r="V20" s="15" t="s">
        <v>116</v>
      </c>
      <c r="W20" s="14" t="s">
        <v>117</v>
      </c>
      <c r="X20" s="14" t="s">
        <v>118</v>
      </c>
      <c r="Y20" s="14" t="s">
        <v>119</v>
      </c>
      <c r="Z20" s="14" t="s">
        <v>120</v>
      </c>
      <c r="AA20" s="14" t="s">
        <v>121</v>
      </c>
      <c r="AB20" s="14" t="s">
        <v>122</v>
      </c>
      <c r="AC20" s="15" t="s">
        <v>123</v>
      </c>
      <c r="AD20" s="14" t="s">
        <v>124</v>
      </c>
      <c r="AE20" s="14" t="s">
        <v>125</v>
      </c>
      <c r="AF20" s="14" t="s">
        <v>126</v>
      </c>
      <c r="AG20" s="14" t="s">
        <v>127</v>
      </c>
      <c r="AH20" s="14" t="s">
        <v>128</v>
      </c>
      <c r="AI20" s="14" t="s">
        <v>129</v>
      </c>
      <c r="AJ20" s="14" t="s">
        <v>130</v>
      </c>
      <c r="AK20" s="14" t="s">
        <v>131</v>
      </c>
      <c r="AL20" s="14" t="s">
        <v>132</v>
      </c>
      <c r="AM20" s="14" t="s">
        <v>133</v>
      </c>
      <c r="AN20" s="14" t="s">
        <v>134</v>
      </c>
      <c r="AO20" s="14" t="s">
        <v>135</v>
      </c>
      <c r="AP20" s="14" t="s">
        <v>136</v>
      </c>
      <c r="AQ20" s="14" t="s">
        <v>137</v>
      </c>
      <c r="AR20" s="14" t="s">
        <v>138</v>
      </c>
      <c r="AS20" s="14" t="s">
        <v>139</v>
      </c>
      <c r="AT20" s="14" t="s">
        <v>140</v>
      </c>
    </row>
    <row r="21" spans="1:46" ht="252" customHeight="1" x14ac:dyDescent="0.3">
      <c r="A21" s="16"/>
      <c r="B21" s="17"/>
      <c r="C21" s="14" t="s">
        <v>141</v>
      </c>
      <c r="D21" s="14" t="s">
        <v>142</v>
      </c>
      <c r="E21" s="14" t="s">
        <v>142</v>
      </c>
      <c r="F21" s="14" t="s">
        <v>142</v>
      </c>
      <c r="G21" s="14" t="s">
        <v>143</v>
      </c>
      <c r="H21" s="14" t="s">
        <v>144</v>
      </c>
      <c r="I21" s="14" t="s">
        <v>145</v>
      </c>
      <c r="J21" s="14" t="s">
        <v>146</v>
      </c>
      <c r="K21" s="14" t="s">
        <v>147</v>
      </c>
      <c r="L21" s="14" t="s">
        <v>148</v>
      </c>
      <c r="M21" s="14" t="s">
        <v>149</v>
      </c>
      <c r="N21" s="14" t="s">
        <v>150</v>
      </c>
      <c r="O21" s="14" t="s">
        <v>151</v>
      </c>
      <c r="P21" s="14" t="s">
        <v>152</v>
      </c>
      <c r="Q21" s="14" t="s">
        <v>153</v>
      </c>
      <c r="R21" s="14" t="s">
        <v>154</v>
      </c>
      <c r="S21" s="14" t="s">
        <v>155</v>
      </c>
      <c r="T21" s="14" t="s">
        <v>156</v>
      </c>
      <c r="U21" s="14" t="s">
        <v>157</v>
      </c>
      <c r="V21" s="14" t="s">
        <v>158</v>
      </c>
      <c r="W21" s="14" t="s">
        <v>159</v>
      </c>
      <c r="X21" s="14" t="s">
        <v>160</v>
      </c>
      <c r="Y21" s="14" t="s">
        <v>161</v>
      </c>
      <c r="Z21" s="14" t="s">
        <v>162</v>
      </c>
      <c r="AA21" s="14" t="s">
        <v>163</v>
      </c>
      <c r="AB21" s="14" t="s">
        <v>164</v>
      </c>
      <c r="AC21" s="14" t="s">
        <v>165</v>
      </c>
      <c r="AD21" s="14" t="s">
        <v>166</v>
      </c>
      <c r="AE21" s="14" t="s">
        <v>167</v>
      </c>
      <c r="AF21" s="14" t="s">
        <v>168</v>
      </c>
      <c r="AG21" s="14" t="s">
        <v>169</v>
      </c>
      <c r="AH21" s="14" t="s">
        <v>170</v>
      </c>
      <c r="AI21" s="14" t="s">
        <v>171</v>
      </c>
      <c r="AJ21" s="14" t="s">
        <v>172</v>
      </c>
      <c r="AK21" s="14" t="s">
        <v>173</v>
      </c>
      <c r="AL21" s="14" t="s">
        <v>174</v>
      </c>
      <c r="AM21" s="14" t="s">
        <v>175</v>
      </c>
      <c r="AN21" s="14" t="s">
        <v>176</v>
      </c>
      <c r="AO21" s="14" t="s">
        <v>177</v>
      </c>
      <c r="AP21" s="14" t="s">
        <v>178</v>
      </c>
      <c r="AQ21" s="14"/>
      <c r="AR21" s="14" t="s">
        <v>179</v>
      </c>
      <c r="AS21" s="14" t="s">
        <v>180</v>
      </c>
      <c r="AT21" s="14" t="s">
        <v>181</v>
      </c>
    </row>
    <row r="23" spans="1:46" ht="15" customHeight="1" x14ac:dyDescent="0.3">
      <c r="A23" s="7"/>
      <c r="B23" s="8" t="s">
        <v>182</v>
      </c>
      <c r="C23" s="8" t="s">
        <v>48</v>
      </c>
      <c r="D23" s="7" t="b">
        <f>TRUE()</f>
        <v>1</v>
      </c>
      <c r="E23" s="7" t="b">
        <f>TRUE()</f>
        <v>1</v>
      </c>
      <c r="F23" s="7">
        <v>0</v>
      </c>
      <c r="G23" s="18" t="s">
        <v>183</v>
      </c>
      <c r="H23" s="7">
        <v>1</v>
      </c>
      <c r="I23" s="8" t="s">
        <v>184</v>
      </c>
      <c r="J23" s="8" t="s">
        <v>51</v>
      </c>
      <c r="K23" s="8" t="s">
        <v>52</v>
      </c>
      <c r="L23" s="7">
        <v>10</v>
      </c>
      <c r="M23" s="8" t="s">
        <v>53</v>
      </c>
      <c r="N23" s="8" t="s">
        <v>54</v>
      </c>
      <c r="O23" s="9" t="s">
        <v>185</v>
      </c>
      <c r="P23" s="8" t="s">
        <v>56</v>
      </c>
      <c r="Q23" s="8" t="s">
        <v>57</v>
      </c>
      <c r="R23" s="8" t="s">
        <v>58</v>
      </c>
      <c r="S23" s="7">
        <v>1</v>
      </c>
      <c r="T23" s="7">
        <v>1</v>
      </c>
      <c r="U23" s="10">
        <v>0.65</v>
      </c>
      <c r="V23" s="7">
        <v>1</v>
      </c>
      <c r="W23" s="8" t="s">
        <v>57</v>
      </c>
      <c r="X23" s="8" t="s">
        <v>59</v>
      </c>
      <c r="Y23" s="8" t="s">
        <v>59</v>
      </c>
      <c r="Z23" s="8" t="s">
        <v>59</v>
      </c>
      <c r="AA23" s="8" t="s">
        <v>59</v>
      </c>
      <c r="AB23" s="8" t="s">
        <v>57</v>
      </c>
      <c r="AC23" s="7">
        <v>9.1999999999999998E-2</v>
      </c>
      <c r="AD23" s="8" t="s">
        <v>57</v>
      </c>
      <c r="AE23" s="8" t="s">
        <v>59</v>
      </c>
      <c r="AF23" s="8" t="s">
        <v>60</v>
      </c>
      <c r="AG23" s="8" t="s">
        <v>60</v>
      </c>
      <c r="AH23" s="8" t="s">
        <v>60</v>
      </c>
      <c r="AI23" s="8" t="s">
        <v>60</v>
      </c>
      <c r="AJ23" s="8" t="s">
        <v>61</v>
      </c>
      <c r="AK23" s="8" t="s">
        <v>78</v>
      </c>
      <c r="AL23" s="8" t="s">
        <v>59</v>
      </c>
      <c r="AM23" s="8" t="s">
        <v>59</v>
      </c>
      <c r="AN23" s="8" t="s">
        <v>63</v>
      </c>
      <c r="AO23" s="8" t="s">
        <v>64</v>
      </c>
      <c r="AP23" s="8" t="s">
        <v>64</v>
      </c>
      <c r="AQ23" s="8" t="s">
        <v>64</v>
      </c>
      <c r="AR23" s="11" t="s">
        <v>66</v>
      </c>
      <c r="AS23" s="8" t="s">
        <v>67</v>
      </c>
      <c r="AT23" s="8" t="s">
        <v>68</v>
      </c>
    </row>
    <row r="24" spans="1:46" ht="15" customHeight="1" x14ac:dyDescent="0.3">
      <c r="A24" s="7"/>
      <c r="B24" s="8" t="s">
        <v>186</v>
      </c>
      <c r="C24" s="8" t="s">
        <v>48</v>
      </c>
      <c r="D24" s="7" t="b">
        <f>TRUE()</f>
        <v>1</v>
      </c>
      <c r="E24" s="7" t="b">
        <f>TRUE()</f>
        <v>1</v>
      </c>
      <c r="F24" s="7">
        <v>0</v>
      </c>
      <c r="G24" s="7" t="b">
        <f>FALSE()</f>
        <v>0</v>
      </c>
      <c r="H24" s="7">
        <v>1</v>
      </c>
      <c r="I24" s="8" t="s">
        <v>184</v>
      </c>
      <c r="J24" s="8" t="s">
        <v>51</v>
      </c>
      <c r="K24" s="8" t="s">
        <v>52</v>
      </c>
      <c r="L24" s="7">
        <v>10</v>
      </c>
      <c r="M24" s="8" t="s">
        <v>53</v>
      </c>
      <c r="N24" s="8" t="s">
        <v>54</v>
      </c>
      <c r="O24" s="9" t="s">
        <v>185</v>
      </c>
      <c r="P24" s="8" t="s">
        <v>56</v>
      </c>
      <c r="Q24" s="8" t="s">
        <v>57</v>
      </c>
      <c r="R24" s="8" t="s">
        <v>58</v>
      </c>
      <c r="S24" s="7">
        <v>1</v>
      </c>
      <c r="T24" s="7">
        <v>1</v>
      </c>
      <c r="U24" s="10">
        <v>0.65</v>
      </c>
      <c r="V24" s="7">
        <v>1</v>
      </c>
      <c r="W24" s="8" t="s">
        <v>57</v>
      </c>
      <c r="X24" s="8" t="s">
        <v>59</v>
      </c>
      <c r="Y24" s="8" t="s">
        <v>59</v>
      </c>
      <c r="Z24" s="8" t="s">
        <v>59</v>
      </c>
      <c r="AA24" s="8" t="s">
        <v>59</v>
      </c>
      <c r="AB24" s="8" t="s">
        <v>57</v>
      </c>
      <c r="AC24" s="7">
        <v>9.1999999999999998E-2</v>
      </c>
      <c r="AD24" s="8" t="s">
        <v>57</v>
      </c>
      <c r="AE24" s="8" t="s">
        <v>59</v>
      </c>
      <c r="AF24" s="8" t="s">
        <v>60</v>
      </c>
      <c r="AG24" s="8" t="s">
        <v>60</v>
      </c>
      <c r="AH24" s="8" t="s">
        <v>60</v>
      </c>
      <c r="AI24" s="8" t="s">
        <v>60</v>
      </c>
      <c r="AJ24" s="8" t="s">
        <v>61</v>
      </c>
      <c r="AK24" s="8" t="s">
        <v>78</v>
      </c>
      <c r="AL24" s="8" t="s">
        <v>59</v>
      </c>
      <c r="AM24" s="8" t="s">
        <v>59</v>
      </c>
      <c r="AN24" s="8" t="s">
        <v>63</v>
      </c>
      <c r="AO24" s="8" t="s">
        <v>187</v>
      </c>
      <c r="AP24" s="8" t="s">
        <v>64</v>
      </c>
      <c r="AQ24" s="8" t="s">
        <v>64</v>
      </c>
      <c r="AR24" s="11" t="s">
        <v>66</v>
      </c>
      <c r="AS24" s="8" t="s">
        <v>67</v>
      </c>
      <c r="AT24" s="8" t="s">
        <v>68</v>
      </c>
    </row>
    <row r="25" spans="1:46" ht="15" customHeight="1" x14ac:dyDescent="0.3">
      <c r="A25" s="7"/>
      <c r="B25" s="8" t="s">
        <v>188</v>
      </c>
      <c r="C25" s="8" t="s">
        <v>48</v>
      </c>
      <c r="D25" s="7" t="b">
        <f>TRUE()</f>
        <v>1</v>
      </c>
      <c r="E25" s="7" t="b">
        <f>TRUE()</f>
        <v>1</v>
      </c>
      <c r="F25" s="7">
        <v>0</v>
      </c>
      <c r="G25" s="7" t="b">
        <f>FALSE()</f>
        <v>0</v>
      </c>
      <c r="H25" s="7">
        <v>1</v>
      </c>
      <c r="I25" s="8" t="s">
        <v>184</v>
      </c>
      <c r="J25" s="8" t="s">
        <v>51</v>
      </c>
      <c r="K25" s="8" t="s">
        <v>52</v>
      </c>
      <c r="L25" s="7">
        <v>10</v>
      </c>
      <c r="M25" s="8" t="s">
        <v>53</v>
      </c>
      <c r="N25" s="8" t="s">
        <v>54</v>
      </c>
      <c r="O25" s="9" t="s">
        <v>185</v>
      </c>
      <c r="P25" s="8" t="s">
        <v>56</v>
      </c>
      <c r="Q25" s="8" t="s">
        <v>57</v>
      </c>
      <c r="R25" s="8" t="s">
        <v>58</v>
      </c>
      <c r="S25" s="7">
        <v>1</v>
      </c>
      <c r="T25" s="7">
        <v>1</v>
      </c>
      <c r="U25" s="10">
        <v>0.65</v>
      </c>
      <c r="V25" s="7">
        <v>1</v>
      </c>
      <c r="W25" s="8" t="s">
        <v>57</v>
      </c>
      <c r="X25" s="8" t="s">
        <v>59</v>
      </c>
      <c r="Y25" s="8" t="s">
        <v>59</v>
      </c>
      <c r="Z25" s="8" t="s">
        <v>59</v>
      </c>
      <c r="AA25" s="8" t="s">
        <v>59</v>
      </c>
      <c r="AB25" s="8" t="s">
        <v>57</v>
      </c>
      <c r="AC25" s="7">
        <v>9.1999999999999998E-2</v>
      </c>
      <c r="AD25" s="8" t="s">
        <v>57</v>
      </c>
      <c r="AE25" s="8" t="s">
        <v>59</v>
      </c>
      <c r="AF25" s="8" t="s">
        <v>60</v>
      </c>
      <c r="AG25" s="8" t="s">
        <v>60</v>
      </c>
      <c r="AH25" s="8" t="s">
        <v>60</v>
      </c>
      <c r="AI25" s="8" t="s">
        <v>60</v>
      </c>
      <c r="AJ25" s="8" t="s">
        <v>61</v>
      </c>
      <c r="AK25" s="8" t="s">
        <v>78</v>
      </c>
      <c r="AL25" s="8" t="s">
        <v>59</v>
      </c>
      <c r="AM25" s="8" t="s">
        <v>59</v>
      </c>
      <c r="AN25" s="8" t="s">
        <v>63</v>
      </c>
      <c r="AO25" s="8" t="s">
        <v>64</v>
      </c>
      <c r="AP25" s="8" t="s">
        <v>189</v>
      </c>
      <c r="AQ25" s="8" t="s">
        <v>64</v>
      </c>
      <c r="AR25" s="11" t="s">
        <v>66</v>
      </c>
      <c r="AS25" s="8" t="s">
        <v>67</v>
      </c>
      <c r="AT25" s="8" t="s">
        <v>68</v>
      </c>
    </row>
    <row r="26" spans="1:46" ht="15" customHeight="1" x14ac:dyDescent="0.3">
      <c r="A26" s="7"/>
      <c r="B26" s="8" t="s">
        <v>190</v>
      </c>
      <c r="C26" s="8" t="s">
        <v>48</v>
      </c>
      <c r="D26" s="7" t="b">
        <f>TRUE()</f>
        <v>1</v>
      </c>
      <c r="E26" s="7" t="b">
        <f>TRUE()</f>
        <v>1</v>
      </c>
      <c r="F26" s="7">
        <v>0</v>
      </c>
      <c r="G26" s="7" t="b">
        <f>FALSE()</f>
        <v>0</v>
      </c>
      <c r="H26" s="7">
        <v>1</v>
      </c>
      <c r="I26" s="8" t="s">
        <v>184</v>
      </c>
      <c r="J26" s="8" t="s">
        <v>51</v>
      </c>
      <c r="K26" s="8" t="s">
        <v>52</v>
      </c>
      <c r="L26" s="7">
        <v>10</v>
      </c>
      <c r="M26" s="8" t="s">
        <v>53</v>
      </c>
      <c r="N26" s="8" t="s">
        <v>54</v>
      </c>
      <c r="O26" s="9" t="s">
        <v>185</v>
      </c>
      <c r="P26" s="8" t="s">
        <v>56</v>
      </c>
      <c r="Q26" s="8" t="s">
        <v>57</v>
      </c>
      <c r="R26" s="8" t="s">
        <v>58</v>
      </c>
      <c r="S26" s="7">
        <v>1</v>
      </c>
      <c r="T26" s="7">
        <v>1</v>
      </c>
      <c r="U26" s="10">
        <v>0.65</v>
      </c>
      <c r="V26" s="7">
        <v>1</v>
      </c>
      <c r="W26" s="8" t="s">
        <v>57</v>
      </c>
      <c r="X26" s="8" t="s">
        <v>59</v>
      </c>
      <c r="Y26" s="8" t="s">
        <v>59</v>
      </c>
      <c r="Z26" s="8" t="s">
        <v>59</v>
      </c>
      <c r="AA26" s="8" t="s">
        <v>59</v>
      </c>
      <c r="AB26" s="8" t="s">
        <v>57</v>
      </c>
      <c r="AC26" s="7">
        <v>9.1999999999999998E-2</v>
      </c>
      <c r="AD26" s="8" t="s">
        <v>57</v>
      </c>
      <c r="AE26" s="8" t="s">
        <v>59</v>
      </c>
      <c r="AF26" s="8" t="s">
        <v>60</v>
      </c>
      <c r="AG26" s="8" t="s">
        <v>60</v>
      </c>
      <c r="AH26" s="8" t="s">
        <v>60</v>
      </c>
      <c r="AI26" s="8" t="s">
        <v>60</v>
      </c>
      <c r="AJ26" s="8" t="s">
        <v>61</v>
      </c>
      <c r="AK26" s="8" t="s">
        <v>78</v>
      </c>
      <c r="AL26" s="8" t="s">
        <v>59</v>
      </c>
      <c r="AM26" s="8" t="s">
        <v>59</v>
      </c>
      <c r="AN26" s="8" t="s">
        <v>63</v>
      </c>
      <c r="AO26" s="8" t="s">
        <v>187</v>
      </c>
      <c r="AP26" s="8" t="s">
        <v>189</v>
      </c>
      <c r="AQ26" s="8" t="s">
        <v>64</v>
      </c>
      <c r="AR26" s="11" t="s">
        <v>66</v>
      </c>
      <c r="AS26" s="8" t="s">
        <v>67</v>
      </c>
      <c r="AT26" s="8" t="s">
        <v>68</v>
      </c>
    </row>
    <row r="27" spans="1:46" ht="15" customHeight="1" x14ac:dyDescent="0.3">
      <c r="A27" s="7"/>
      <c r="B27" s="8" t="s">
        <v>191</v>
      </c>
      <c r="C27" s="8" t="s">
        <v>48</v>
      </c>
      <c r="D27" s="7" t="b">
        <f>TRUE()</f>
        <v>1</v>
      </c>
      <c r="E27" s="7" t="b">
        <f>TRUE()</f>
        <v>1</v>
      </c>
      <c r="F27" s="7">
        <v>0</v>
      </c>
      <c r="G27" s="7" t="b">
        <f>FALSE()</f>
        <v>0</v>
      </c>
      <c r="H27" s="7">
        <v>1</v>
      </c>
      <c r="I27" s="8" t="s">
        <v>50</v>
      </c>
      <c r="J27" s="8" t="s">
        <v>51</v>
      </c>
      <c r="K27" s="8" t="s">
        <v>52</v>
      </c>
      <c r="L27" s="7">
        <v>1</v>
      </c>
      <c r="M27" s="8" t="s">
        <v>53</v>
      </c>
      <c r="N27" s="8" t="s">
        <v>54</v>
      </c>
      <c r="O27" s="9" t="s">
        <v>185</v>
      </c>
      <c r="P27" s="8" t="s">
        <v>56</v>
      </c>
      <c r="Q27" s="8" t="s">
        <v>57</v>
      </c>
      <c r="R27" s="8" t="s">
        <v>58</v>
      </c>
      <c r="S27" s="7">
        <v>0</v>
      </c>
      <c r="T27" s="7">
        <v>0</v>
      </c>
      <c r="U27" s="10">
        <v>0.4</v>
      </c>
      <c r="V27" s="7">
        <v>1.5</v>
      </c>
      <c r="W27" s="8" t="s">
        <v>57</v>
      </c>
      <c r="X27" s="8" t="s">
        <v>59</v>
      </c>
      <c r="Y27" s="8" t="s">
        <v>59</v>
      </c>
      <c r="Z27" s="8" t="s">
        <v>59</v>
      </c>
      <c r="AA27" s="8" t="s">
        <v>59</v>
      </c>
      <c r="AB27" s="8" t="s">
        <v>57</v>
      </c>
      <c r="AC27" s="7">
        <v>9.1999999999999998E-2</v>
      </c>
      <c r="AD27" s="8" t="s">
        <v>57</v>
      </c>
      <c r="AE27" s="8" t="s">
        <v>59</v>
      </c>
      <c r="AF27" s="8" t="s">
        <v>60</v>
      </c>
      <c r="AG27" s="8" t="s">
        <v>60</v>
      </c>
      <c r="AH27" s="8" t="s">
        <v>60</v>
      </c>
      <c r="AI27" s="8" t="s">
        <v>60</v>
      </c>
      <c r="AJ27" s="8" t="s">
        <v>61</v>
      </c>
      <c r="AK27" s="8" t="s">
        <v>78</v>
      </c>
      <c r="AL27" s="8" t="s">
        <v>59</v>
      </c>
      <c r="AM27" s="8" t="s">
        <v>59</v>
      </c>
      <c r="AN27" s="8" t="s">
        <v>63</v>
      </c>
      <c r="AO27" s="8" t="s">
        <v>64</v>
      </c>
      <c r="AP27" s="8" t="s">
        <v>64</v>
      </c>
      <c r="AQ27" s="8" t="s">
        <v>64</v>
      </c>
      <c r="AR27" s="8" t="s">
        <v>192</v>
      </c>
      <c r="AS27" s="8" t="s">
        <v>67</v>
      </c>
      <c r="AT27" s="8" t="s">
        <v>68</v>
      </c>
    </row>
    <row r="28" spans="1:46" ht="15" customHeight="1" x14ac:dyDescent="0.3">
      <c r="A28" s="7"/>
      <c r="B28" s="8" t="s">
        <v>193</v>
      </c>
      <c r="C28" s="8" t="s">
        <v>48</v>
      </c>
      <c r="D28" s="7" t="b">
        <f>TRUE()</f>
        <v>1</v>
      </c>
      <c r="E28" s="7" t="b">
        <f>TRUE()</f>
        <v>1</v>
      </c>
      <c r="F28" s="7">
        <v>0</v>
      </c>
      <c r="G28" s="7" t="b">
        <f>FALSE()</f>
        <v>0</v>
      </c>
      <c r="H28" s="7">
        <v>1</v>
      </c>
      <c r="I28" s="8" t="s">
        <v>50</v>
      </c>
      <c r="J28" s="8" t="s">
        <v>51</v>
      </c>
      <c r="K28" s="8" t="s">
        <v>52</v>
      </c>
      <c r="L28" s="7">
        <v>1</v>
      </c>
      <c r="M28" s="8" t="s">
        <v>53</v>
      </c>
      <c r="N28" s="8" t="s">
        <v>54</v>
      </c>
      <c r="O28" s="9" t="s">
        <v>185</v>
      </c>
      <c r="P28" s="8" t="s">
        <v>56</v>
      </c>
      <c r="Q28" s="8" t="s">
        <v>57</v>
      </c>
      <c r="R28" s="8" t="s">
        <v>58</v>
      </c>
      <c r="S28" s="7">
        <v>0</v>
      </c>
      <c r="T28" s="7">
        <v>0</v>
      </c>
      <c r="U28" s="10">
        <v>0.4</v>
      </c>
      <c r="V28" s="7">
        <v>1.5</v>
      </c>
      <c r="W28" s="8" t="s">
        <v>57</v>
      </c>
      <c r="X28" s="8" t="s">
        <v>59</v>
      </c>
      <c r="Y28" s="8" t="s">
        <v>59</v>
      </c>
      <c r="Z28" s="8" t="s">
        <v>59</v>
      </c>
      <c r="AA28" s="8" t="s">
        <v>59</v>
      </c>
      <c r="AB28" s="8" t="s">
        <v>57</v>
      </c>
      <c r="AC28" s="7">
        <v>9.1999999999999998E-2</v>
      </c>
      <c r="AD28" s="8" t="s">
        <v>57</v>
      </c>
      <c r="AE28" s="8" t="s">
        <v>59</v>
      </c>
      <c r="AF28" s="8" t="s">
        <v>60</v>
      </c>
      <c r="AG28" s="8" t="s">
        <v>60</v>
      </c>
      <c r="AH28" s="8" t="s">
        <v>60</v>
      </c>
      <c r="AI28" s="8" t="s">
        <v>60</v>
      </c>
      <c r="AJ28" s="8" t="s">
        <v>61</v>
      </c>
      <c r="AK28" s="8" t="s">
        <v>78</v>
      </c>
      <c r="AL28" s="8" t="s">
        <v>59</v>
      </c>
      <c r="AM28" s="8" t="s">
        <v>59</v>
      </c>
      <c r="AN28" s="8" t="s">
        <v>63</v>
      </c>
      <c r="AO28" s="8" t="s">
        <v>187</v>
      </c>
      <c r="AP28" s="8" t="s">
        <v>64</v>
      </c>
      <c r="AQ28" s="8" t="s">
        <v>64</v>
      </c>
      <c r="AR28" s="8" t="s">
        <v>192</v>
      </c>
      <c r="AS28" s="8" t="s">
        <v>67</v>
      </c>
      <c r="AT28" s="8" t="s">
        <v>68</v>
      </c>
    </row>
    <row r="29" spans="1:46" ht="15" customHeight="1" x14ac:dyDescent="0.3">
      <c r="A29" s="7"/>
      <c r="B29" s="8" t="s">
        <v>194</v>
      </c>
      <c r="C29" s="8" t="s">
        <v>48</v>
      </c>
      <c r="D29" s="7" t="b">
        <f>TRUE()</f>
        <v>1</v>
      </c>
      <c r="E29" s="7" t="b">
        <f>TRUE()</f>
        <v>1</v>
      </c>
      <c r="F29" s="7">
        <v>0</v>
      </c>
      <c r="G29" s="7" t="b">
        <f>FALSE()</f>
        <v>0</v>
      </c>
      <c r="H29" s="7">
        <v>1</v>
      </c>
      <c r="I29" s="8" t="s">
        <v>50</v>
      </c>
      <c r="J29" s="8" t="s">
        <v>51</v>
      </c>
      <c r="K29" s="8" t="s">
        <v>52</v>
      </c>
      <c r="L29" s="7">
        <v>1</v>
      </c>
      <c r="M29" s="8" t="s">
        <v>53</v>
      </c>
      <c r="N29" s="8" t="s">
        <v>54</v>
      </c>
      <c r="O29" s="9" t="s">
        <v>185</v>
      </c>
      <c r="P29" s="8" t="s">
        <v>56</v>
      </c>
      <c r="Q29" s="8" t="s">
        <v>57</v>
      </c>
      <c r="R29" s="8" t="s">
        <v>58</v>
      </c>
      <c r="S29" s="7">
        <v>0</v>
      </c>
      <c r="T29" s="7">
        <v>0</v>
      </c>
      <c r="U29" s="10">
        <v>0.4</v>
      </c>
      <c r="V29" s="7">
        <v>1.5</v>
      </c>
      <c r="W29" s="8" t="s">
        <v>57</v>
      </c>
      <c r="X29" s="8" t="s">
        <v>59</v>
      </c>
      <c r="Y29" s="8" t="s">
        <v>59</v>
      </c>
      <c r="Z29" s="8" t="s">
        <v>59</v>
      </c>
      <c r="AA29" s="8" t="s">
        <v>59</v>
      </c>
      <c r="AB29" s="8" t="s">
        <v>57</v>
      </c>
      <c r="AC29" s="7">
        <v>9.1999999999999998E-2</v>
      </c>
      <c r="AD29" s="8" t="s">
        <v>57</v>
      </c>
      <c r="AE29" s="8" t="s">
        <v>59</v>
      </c>
      <c r="AF29" s="8" t="s">
        <v>60</v>
      </c>
      <c r="AG29" s="8" t="s">
        <v>60</v>
      </c>
      <c r="AH29" s="8" t="s">
        <v>60</v>
      </c>
      <c r="AI29" s="8" t="s">
        <v>60</v>
      </c>
      <c r="AJ29" s="8" t="s">
        <v>61</v>
      </c>
      <c r="AK29" s="8" t="s">
        <v>78</v>
      </c>
      <c r="AL29" s="8" t="s">
        <v>59</v>
      </c>
      <c r="AM29" s="8" t="s">
        <v>59</v>
      </c>
      <c r="AN29" s="8" t="s">
        <v>63</v>
      </c>
      <c r="AO29" s="8" t="s">
        <v>64</v>
      </c>
      <c r="AP29" s="8" t="s">
        <v>65</v>
      </c>
      <c r="AQ29" s="8" t="s">
        <v>64</v>
      </c>
      <c r="AR29" s="8" t="s">
        <v>192</v>
      </c>
      <c r="AS29" s="8" t="s">
        <v>67</v>
      </c>
      <c r="AT29" s="8" t="s">
        <v>68</v>
      </c>
    </row>
    <row r="30" spans="1:46" ht="15" customHeight="1" x14ac:dyDescent="0.3">
      <c r="A30" s="7"/>
      <c r="B30" s="8" t="s">
        <v>195</v>
      </c>
      <c r="C30" s="8" t="s">
        <v>48</v>
      </c>
      <c r="D30" s="7" t="b">
        <f>TRUE()</f>
        <v>1</v>
      </c>
      <c r="E30" s="7" t="b">
        <f>TRUE()</f>
        <v>1</v>
      </c>
      <c r="F30" s="7">
        <v>0</v>
      </c>
      <c r="G30" s="7" t="b">
        <f>FALSE()</f>
        <v>0</v>
      </c>
      <c r="H30" s="7">
        <v>1</v>
      </c>
      <c r="I30" s="8" t="s">
        <v>50</v>
      </c>
      <c r="J30" s="8" t="s">
        <v>51</v>
      </c>
      <c r="K30" s="8" t="s">
        <v>52</v>
      </c>
      <c r="L30" s="7">
        <v>1</v>
      </c>
      <c r="M30" s="8" t="s">
        <v>53</v>
      </c>
      <c r="N30" s="8" t="s">
        <v>54</v>
      </c>
      <c r="O30" s="9" t="s">
        <v>185</v>
      </c>
      <c r="P30" s="8" t="s">
        <v>56</v>
      </c>
      <c r="Q30" s="8" t="s">
        <v>57</v>
      </c>
      <c r="R30" s="8" t="s">
        <v>58</v>
      </c>
      <c r="S30" s="7">
        <v>0</v>
      </c>
      <c r="T30" s="7">
        <v>0</v>
      </c>
      <c r="U30" s="10">
        <v>0.4</v>
      </c>
      <c r="V30" s="7">
        <v>1.5</v>
      </c>
      <c r="W30" s="8" t="s">
        <v>57</v>
      </c>
      <c r="X30" s="8" t="s">
        <v>59</v>
      </c>
      <c r="Y30" s="8" t="s">
        <v>59</v>
      </c>
      <c r="Z30" s="8" t="s">
        <v>59</v>
      </c>
      <c r="AA30" s="8" t="s">
        <v>59</v>
      </c>
      <c r="AB30" s="8" t="s">
        <v>57</v>
      </c>
      <c r="AC30" s="7">
        <v>9.1999999999999998E-2</v>
      </c>
      <c r="AD30" s="8" t="s">
        <v>57</v>
      </c>
      <c r="AE30" s="8" t="s">
        <v>59</v>
      </c>
      <c r="AF30" s="8" t="s">
        <v>60</v>
      </c>
      <c r="AG30" s="8" t="s">
        <v>60</v>
      </c>
      <c r="AH30" s="8" t="s">
        <v>60</v>
      </c>
      <c r="AI30" s="8" t="s">
        <v>60</v>
      </c>
      <c r="AJ30" s="8" t="s">
        <v>61</v>
      </c>
      <c r="AK30" s="8" t="s">
        <v>78</v>
      </c>
      <c r="AL30" s="8" t="s">
        <v>59</v>
      </c>
      <c r="AM30" s="8" t="s">
        <v>59</v>
      </c>
      <c r="AN30" s="8" t="s">
        <v>63</v>
      </c>
      <c r="AO30" s="8" t="s">
        <v>187</v>
      </c>
      <c r="AP30" s="8" t="s">
        <v>65</v>
      </c>
      <c r="AQ30" s="8" t="s">
        <v>64</v>
      </c>
      <c r="AR30" s="8" t="s">
        <v>192</v>
      </c>
      <c r="AS30" s="8" t="s">
        <v>67</v>
      </c>
      <c r="AT30" s="8" t="s">
        <v>68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scenario_definition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2026-10-30T09:04:53Z</dcterms:created>
  <dcterms:modified xsi:type="dcterms:W3CDTF">2026-10-30T09:43:39Z</dcterms:modified>
  <cp:category/>
</cp:coreProperties>
</file>