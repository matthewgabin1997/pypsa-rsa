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gatha.majcher\Downloads\agma0 pypsa-rsa master scenarios-Coal_Flexibilisation\sub_scenarios\"/>
    </mc:Choice>
  </mc:AlternateContent>
  <xr:revisionPtr revIDLastSave="0" documentId="13_ncr:1_{F8459968-05C5-420A-B71B-6EBE5E1990ED}" xr6:coauthVersionLast="47" xr6:coauthVersionMax="47" xr10:uidLastSave="{00000000-0000-0000-0000-000000000000}"/>
  <bookViews>
    <workbookView xWindow="-15" yWindow="-16320" windowWidth="29040" windowHeight="15720" tabRatio="500" xr2:uid="{00000000-000D-0000-FFFF-FFFF00000000}"/>
  </bookViews>
  <sheets>
    <sheet name="fixed_generators" sheetId="1" r:id="rId1"/>
    <sheet name="extendable_generators" sheetId="2" r:id="rId2"/>
  </sheets>
  <definedNames>
    <definedName name="_xlnm._FilterDatabase" localSheetId="0" hidden="1">fixed_generators!$A$1:$C$1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" i="2" l="1"/>
  <c r="AE6" i="2"/>
  <c r="AF6" i="2"/>
  <c r="AG6" i="2"/>
  <c r="AH6" i="2"/>
  <c r="AI6" i="2"/>
  <c r="AD6" i="2"/>
  <c r="Z5" i="2"/>
  <c r="AA5" i="2"/>
  <c r="AB5" i="2"/>
  <c r="AC5" i="2"/>
  <c r="AD5" i="2"/>
  <c r="AE5" i="2"/>
  <c r="AF5" i="2"/>
  <c r="AG5" i="2"/>
  <c r="AH5" i="2"/>
  <c r="AI5" i="2"/>
  <c r="Y5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J3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J6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J5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J7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J8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J9" i="2"/>
  <c r="A3" i="1"/>
  <c r="A4" i="1" s="1"/>
  <c r="A5" i="1" s="1"/>
  <c r="A6" i="1" s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J3" i="1"/>
  <c r="O6" i="1"/>
  <c r="N6" i="1"/>
  <c r="M6" i="1"/>
  <c r="L6" i="1"/>
  <c r="K6" i="1"/>
  <c r="J6" i="1"/>
  <c r="O5" i="1"/>
  <c r="N5" i="1"/>
  <c r="M5" i="1"/>
  <c r="L5" i="1"/>
  <c r="K5" i="1"/>
  <c r="J5" i="1"/>
  <c r="O4" i="1"/>
  <c r="N4" i="1"/>
  <c r="M4" i="1"/>
  <c r="L4" i="1"/>
  <c r="K4" i="1"/>
  <c r="J4" i="1"/>
  <c r="P2" i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P4" i="1" l="1"/>
  <c r="P6" i="1"/>
  <c r="P5" i="1"/>
  <c r="Q2" i="1"/>
  <c r="Q5" i="1" l="1"/>
  <c r="Q6" i="1"/>
  <c r="Q4" i="1"/>
  <c r="R2" i="1"/>
  <c r="R6" i="1" l="1"/>
  <c r="R4" i="1"/>
  <c r="R5" i="1"/>
  <c r="S2" i="1"/>
  <c r="S6" i="1" l="1"/>
  <c r="S4" i="1"/>
  <c r="S5" i="1"/>
  <c r="T2" i="1"/>
  <c r="U2" i="1" l="1"/>
  <c r="T5" i="1"/>
  <c r="T6" i="1"/>
  <c r="T4" i="1"/>
  <c r="U6" i="1" l="1"/>
  <c r="U4" i="1"/>
  <c r="V2" i="1"/>
  <c r="U5" i="1"/>
  <c r="W2" i="1" l="1"/>
  <c r="V6" i="1"/>
  <c r="V5" i="1"/>
  <c r="V4" i="1"/>
  <c r="W5" i="1" l="1"/>
  <c r="W6" i="1"/>
  <c r="W4" i="1"/>
  <c r="X2" i="1"/>
  <c r="X5" i="1" l="1"/>
  <c r="X4" i="1"/>
  <c r="Y2" i="1"/>
  <c r="X6" i="1"/>
  <c r="Y5" i="1" l="1"/>
  <c r="Y6" i="1"/>
  <c r="Y4" i="1"/>
  <c r="Z2" i="1"/>
  <c r="Z4" i="1" l="1"/>
  <c r="Z6" i="1"/>
  <c r="Z5" i="1"/>
  <c r="AA2" i="1"/>
  <c r="AA5" i="1" l="1"/>
  <c r="AA6" i="1"/>
  <c r="AA4" i="1"/>
  <c r="AB2" i="1"/>
  <c r="AC2" i="1" l="1"/>
  <c r="AB6" i="1"/>
  <c r="AB4" i="1"/>
  <c r="AB5" i="1"/>
  <c r="AC6" i="1" l="1"/>
  <c r="AC4" i="1"/>
  <c r="AC5" i="1"/>
  <c r="AD2" i="1"/>
  <c r="AE2" i="1" l="1"/>
  <c r="AD6" i="1"/>
  <c r="AD4" i="1"/>
  <c r="AD5" i="1"/>
  <c r="AF2" i="1" l="1"/>
  <c r="AE4" i="1"/>
  <c r="AE6" i="1"/>
  <c r="AE5" i="1"/>
  <c r="AG2" i="1" l="1"/>
  <c r="AF4" i="1"/>
  <c r="AF6" i="1"/>
  <c r="AF5" i="1"/>
  <c r="AG5" i="1" l="1"/>
  <c r="AG4" i="1"/>
  <c r="AG6" i="1"/>
  <c r="AH2" i="1"/>
  <c r="AH4" i="1" l="1"/>
  <c r="AH6" i="1"/>
  <c r="AH5" i="1"/>
  <c r="AI2" i="1"/>
  <c r="AI6" i="1" l="1"/>
  <c r="AI5" i="1"/>
  <c r="AI4" i="1"/>
  <c r="F1" i="2" l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</calcChain>
</file>

<file path=xl/sharedStrings.xml><?xml version="1.0" encoding="utf-8"?>
<sst xmlns="http://schemas.openxmlformats.org/spreadsheetml/2006/main" count="42" uniqueCount="23">
  <si>
    <t>scenario</t>
  </si>
  <si>
    <t>station_name</t>
  </si>
  <si>
    <t>parameter</t>
  </si>
  <si>
    <t>fuel_price (R/GJ)</t>
  </si>
  <si>
    <t>ocgt_diesel</t>
  </si>
  <si>
    <t>R/GJ</t>
  </si>
  <si>
    <t>ocgt_diesel_emg</t>
  </si>
  <si>
    <t>ocgt_gas</t>
  </si>
  <si>
    <t>ocgt_gas_h2_40</t>
  </si>
  <si>
    <t>ocgt_gas_h2_45</t>
  </si>
  <si>
    <t>ocgt_gas_h2_50</t>
  </si>
  <si>
    <t>ocgt_gas_h2_55</t>
  </si>
  <si>
    <t>ocgt_gas_h2_60</t>
  </si>
  <si>
    <t>ccgt_steam</t>
  </si>
  <si>
    <t>coal</t>
  </si>
  <si>
    <t>nuclear</t>
  </si>
  <si>
    <t>solar_csp</t>
  </si>
  <si>
    <t>variable_coal</t>
  </si>
  <si>
    <t>variable_diesel</t>
  </si>
  <si>
    <t>low_group</t>
  </si>
  <si>
    <t>med_group</t>
  </si>
  <si>
    <t>high_group</t>
  </si>
  <si>
    <t>BASE_PMR1b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</si>
</sst>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8" x14ac:knownFonts="1">
    <font>
      <sz val="11"/>
      <color theme="1"/>
      <name val="Aptos Narrow"/>
      <family val="2"/>
      <charset val="1"/>
    </font>
    <font>
      <b/>
      <sz val="11"/>
      <color rgb="FF3F3F3F"/>
      <name val="Calibri"/>
      <family val="2"/>
      <charset val="1"/>
    </font>
    <font>
      <b/>
      <sz val="11"/>
      <color rgb="FF3F3F3F"/>
      <name val="Aptos Narrow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Aptos Narrow"/>
      <family val="2"/>
      <charset val="1"/>
    </font>
    <font>
      <sz val="11"/>
      <color theme="0"/>
      <name val="Aptos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C99"/>
        <bgColor rgb="FFFBE3D6"/>
      </patternFill>
    </fill>
    <fill>
      <patternFill patternType="solid">
        <fgColor theme="0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3" tint="0.89999084444715716"/>
        <bgColor rgb="FFF2F2F2"/>
      </patternFill>
    </fill>
    <fill>
      <patternFill patternType="solid">
        <fgColor rgb="FF0070C0"/>
        <bgColor rgb="FFCCFFFF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2" borderId="1" applyProtection="0"/>
    <xf numFmtId="0" fontId="4" fillId="3" borderId="2" applyProtection="0"/>
  </cellStyleXfs>
  <cellXfs count="34">
    <xf numFmtId="0" fontId="0" fillId="0" borderId="0" xfId="0"/>
    <xf numFmtId="0" fontId="1" fillId="2" borderId="3" xfId="1" applyFont="1" applyBorder="1" applyAlignment="1" applyProtection="1">
      <alignment horizontal="left" vertical="center" wrapText="1"/>
    </xf>
    <xf numFmtId="0" fontId="1" fillId="2" borderId="3" xfId="1" applyFont="1" applyBorder="1" applyAlignment="1" applyProtection="1">
      <alignment horizontal="right" vertical="center" wrapText="1"/>
    </xf>
    <xf numFmtId="0" fontId="3" fillId="4" borderId="0" xfId="2" applyFont="1" applyFill="1" applyBorder="1" applyAlignment="1" applyProtection="1">
      <alignment horizontal="left"/>
    </xf>
    <xf numFmtId="0" fontId="3" fillId="4" borderId="0" xfId="2" applyFont="1" applyFill="1" applyBorder="1" applyAlignment="1" applyProtection="1">
      <alignment horizontal="right"/>
    </xf>
    <xf numFmtId="0" fontId="0" fillId="4" borderId="0" xfId="0" applyFill="1"/>
    <xf numFmtId="1" fontId="5" fillId="4" borderId="0" xfId="0" applyNumberFormat="1" applyFont="1" applyFill="1"/>
    <xf numFmtId="0" fontId="3" fillId="2" borderId="0" xfId="2" applyFont="1" applyFill="1" applyBorder="1" applyAlignment="1" applyProtection="1">
      <alignment horizontal="left"/>
    </xf>
    <xf numFmtId="0" fontId="3" fillId="4" borderId="0" xfId="2" applyFont="1" applyFill="1" applyBorder="1" applyProtection="1"/>
    <xf numFmtId="0" fontId="0" fillId="4" borderId="0" xfId="0" applyFill="1" applyAlignment="1">
      <alignment horizontal="right"/>
    </xf>
    <xf numFmtId="1" fontId="5" fillId="0" borderId="0" xfId="0" applyNumberFormat="1" applyFont="1"/>
    <xf numFmtId="1" fontId="1" fillId="2" borderId="3" xfId="1" applyNumberFormat="1" applyFont="1" applyBorder="1" applyAlignment="1" applyProtection="1">
      <alignment horizontal="right" vertical="center" wrapText="1"/>
    </xf>
    <xf numFmtId="0" fontId="3" fillId="2" borderId="3" xfId="2" applyFont="1" applyFill="1" applyBorder="1" applyAlignment="1" applyProtection="1">
      <alignment horizontal="left"/>
    </xf>
    <xf numFmtId="1" fontId="5" fillId="7" borderId="0" xfId="0" applyNumberFormat="1" applyFont="1" applyFill="1"/>
    <xf numFmtId="1" fontId="3" fillId="7" borderId="0" xfId="2" applyNumberFormat="1" applyFont="1" applyFill="1" applyBorder="1" applyAlignment="1" applyProtection="1">
      <alignment horizontal="right"/>
    </xf>
    <xf numFmtId="1" fontId="3" fillId="8" borderId="0" xfId="2" applyNumberFormat="1" applyFont="1" applyFill="1" applyBorder="1" applyAlignment="1" applyProtection="1">
      <alignment horizontal="right"/>
    </xf>
    <xf numFmtId="1" fontId="0" fillId="0" borderId="0" xfId="0" applyNumberFormat="1"/>
    <xf numFmtId="0" fontId="3" fillId="9" borderId="0" xfId="2" applyFont="1" applyFill="1" applyBorder="1" applyAlignment="1" applyProtection="1">
      <alignment horizontal="left"/>
    </xf>
    <xf numFmtId="0" fontId="3" fillId="10" borderId="0" xfId="2" applyFont="1" applyFill="1" applyBorder="1" applyAlignment="1" applyProtection="1">
      <alignment horizontal="left"/>
    </xf>
    <xf numFmtId="0" fontId="3" fillId="9" borderId="3" xfId="2" applyFont="1" applyFill="1" applyBorder="1" applyAlignment="1" applyProtection="1">
      <alignment horizontal="left"/>
    </xf>
    <xf numFmtId="1" fontId="3" fillId="10" borderId="0" xfId="2" applyNumberFormat="1" applyFont="1" applyFill="1" applyBorder="1" applyAlignment="1" applyProtection="1">
      <alignment horizontal="right"/>
    </xf>
    <xf numFmtId="1" fontId="3" fillId="9" borderId="0" xfId="2" applyNumberFormat="1" applyFont="1" applyFill="1" applyBorder="1" applyAlignment="1" applyProtection="1">
      <alignment horizontal="right"/>
    </xf>
    <xf numFmtId="1" fontId="3" fillId="11" borderId="0" xfId="2" applyNumberFormat="1" applyFont="1" applyFill="1" applyBorder="1" applyAlignment="1" applyProtection="1">
      <alignment horizontal="right"/>
    </xf>
    <xf numFmtId="1" fontId="3" fillId="12" borderId="0" xfId="2" applyNumberFormat="1" applyFont="1" applyFill="1" applyBorder="1" applyAlignment="1" applyProtection="1">
      <alignment horizontal="right"/>
    </xf>
    <xf numFmtId="1" fontId="3" fillId="12" borderId="3" xfId="2" applyNumberFormat="1" applyFont="1" applyFill="1" applyBorder="1" applyAlignment="1" applyProtection="1">
      <alignment horizontal="right"/>
    </xf>
    <xf numFmtId="0" fontId="3" fillId="4" borderId="3" xfId="2" applyFont="1" applyFill="1" applyBorder="1" applyAlignment="1" applyProtection="1">
      <alignment horizontal="right"/>
    </xf>
    <xf numFmtId="0" fontId="0" fillId="0" borderId="3" xfId="0" applyBorder="1"/>
    <xf numFmtId="1" fontId="0" fillId="0" borderId="3" xfId="0" applyNumberFormat="1" applyBorder="1"/>
    <xf numFmtId="0" fontId="3" fillId="13" borderId="0" xfId="2" applyFont="1" applyFill="1" applyBorder="1" applyAlignment="1" applyProtection="1">
      <alignment horizontal="right"/>
    </xf>
    <xf numFmtId="0" fontId="3" fillId="6" borderId="0" xfId="2" applyFont="1" applyFill="1" applyBorder="1" applyAlignment="1" applyProtection="1">
      <alignment horizontal="right"/>
    </xf>
    <xf numFmtId="0" fontId="3" fillId="5" borderId="3" xfId="2" applyFont="1" applyFill="1" applyBorder="1" applyAlignment="1" applyProtection="1">
      <alignment horizontal="right"/>
    </xf>
    <xf numFmtId="0" fontId="7" fillId="14" borderId="4" xfId="0" applyFont="1" applyFill="1" applyBorder="1"/>
    <xf numFmtId="0" fontId="7" fillId="14" borderId="0" xfId="0" applyFont="1" applyFill="1"/>
    <xf numFmtId="165" fontId="5" fillId="0" borderId="0" xfId="0" applyNumberFormat="1" applyFont="1"/>
  </cellXfs>
  <cellStyles count="3">
    <cellStyle name="Excel Built-in Input" xfId="2" xr:uid="{00000000-0005-0000-0000-000007000000}"/>
    <cellStyle name="Excel Built-in Output" xfId="1" xr:uid="{00000000-0005-0000-0000-000006000000}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AEEFB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BE3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zoomScaleNormal="100" workbookViewId="0">
      <selection activeCell="AF15" sqref="AF15"/>
    </sheetView>
  </sheetViews>
  <sheetFormatPr baseColWidth="10" defaultColWidth="8.42578125" defaultRowHeight="15" x14ac:dyDescent="0.25"/>
  <cols>
    <col min="1" max="1" width="18.42578125" customWidth="1"/>
    <col min="2" max="2" width="14.42578125" customWidth="1"/>
    <col min="3" max="3" width="16" customWidth="1"/>
    <col min="4" max="9" width="10.140625" hidden="1" customWidth="1"/>
    <col min="10" max="12" width="8.42578125" style="16"/>
    <col min="13" max="13" width="9.140625" style="16" bestFit="1" customWidth="1"/>
    <col min="14" max="35" width="8.42578125" style="16"/>
  </cols>
  <sheetData>
    <row r="1" spans="1:35" x14ac:dyDescent="0.25">
      <c r="A1" s="1" t="s">
        <v>0</v>
      </c>
      <c r="B1" s="1" t="s">
        <v>1</v>
      </c>
      <c r="C1" s="2" t="s">
        <v>2</v>
      </c>
      <c r="D1" s="2">
        <v>2019</v>
      </c>
      <c r="E1" s="2">
        <v>2020</v>
      </c>
      <c r="F1" s="2">
        <f t="shared" ref="F1:AI1" si="0">E1+1</f>
        <v>2021</v>
      </c>
      <c r="G1" s="2">
        <f t="shared" si="0"/>
        <v>2022</v>
      </c>
      <c r="H1" s="2">
        <f t="shared" si="0"/>
        <v>2023</v>
      </c>
      <c r="I1" s="2">
        <f t="shared" si="0"/>
        <v>2024</v>
      </c>
      <c r="J1" s="11">
        <f t="shared" si="0"/>
        <v>2025</v>
      </c>
      <c r="K1" s="11">
        <f t="shared" si="0"/>
        <v>2026</v>
      </c>
      <c r="L1" s="11">
        <f t="shared" si="0"/>
        <v>2027</v>
      </c>
      <c r="M1" s="11">
        <f t="shared" si="0"/>
        <v>2028</v>
      </c>
      <c r="N1" s="11">
        <f t="shared" si="0"/>
        <v>2029</v>
      </c>
      <c r="O1" s="11">
        <f t="shared" si="0"/>
        <v>2030</v>
      </c>
      <c r="P1" s="11">
        <f t="shared" si="0"/>
        <v>2031</v>
      </c>
      <c r="Q1" s="11">
        <f t="shared" si="0"/>
        <v>2032</v>
      </c>
      <c r="R1" s="11">
        <f t="shared" si="0"/>
        <v>2033</v>
      </c>
      <c r="S1" s="11">
        <f t="shared" si="0"/>
        <v>2034</v>
      </c>
      <c r="T1" s="11">
        <f t="shared" si="0"/>
        <v>2035</v>
      </c>
      <c r="U1" s="11">
        <f t="shared" si="0"/>
        <v>2036</v>
      </c>
      <c r="V1" s="11">
        <f t="shared" si="0"/>
        <v>2037</v>
      </c>
      <c r="W1" s="11">
        <f t="shared" si="0"/>
        <v>2038</v>
      </c>
      <c r="X1" s="11">
        <f t="shared" si="0"/>
        <v>2039</v>
      </c>
      <c r="Y1" s="11">
        <f t="shared" si="0"/>
        <v>2040</v>
      </c>
      <c r="Z1" s="11">
        <f t="shared" si="0"/>
        <v>2041</v>
      </c>
      <c r="AA1" s="11">
        <f t="shared" si="0"/>
        <v>2042</v>
      </c>
      <c r="AB1" s="11">
        <f t="shared" si="0"/>
        <v>2043</v>
      </c>
      <c r="AC1" s="11">
        <f t="shared" si="0"/>
        <v>2044</v>
      </c>
      <c r="AD1" s="11">
        <f t="shared" si="0"/>
        <v>2045</v>
      </c>
      <c r="AE1" s="11">
        <f t="shared" si="0"/>
        <v>2046</v>
      </c>
      <c r="AF1" s="11">
        <f t="shared" si="0"/>
        <v>2047</v>
      </c>
      <c r="AG1" s="11">
        <f t="shared" si="0"/>
        <v>2048</v>
      </c>
      <c r="AH1" s="11">
        <f t="shared" si="0"/>
        <v>2049</v>
      </c>
      <c r="AI1" s="11">
        <f t="shared" si="0"/>
        <v>2050</v>
      </c>
    </row>
    <row r="2" spans="1:35" x14ac:dyDescent="0.25">
      <c r="A2" s="32" t="s">
        <v>22</v>
      </c>
      <c r="B2" s="3" t="s">
        <v>17</v>
      </c>
      <c r="C2" s="4" t="s">
        <v>3</v>
      </c>
      <c r="D2" s="5"/>
      <c r="E2" s="5"/>
      <c r="F2" s="5"/>
      <c r="G2" s="5"/>
      <c r="H2" s="5"/>
      <c r="I2" s="5"/>
      <c r="J2" s="6">
        <v>37.741118348594981</v>
      </c>
      <c r="K2" s="6">
        <v>41.652043395995463</v>
      </c>
      <c r="L2" s="6">
        <v>46.571713887022604</v>
      </c>
      <c r="M2" s="6">
        <v>49.303234674251534</v>
      </c>
      <c r="N2" s="6">
        <v>52.3525931379111</v>
      </c>
      <c r="O2" s="6">
        <v>55.610824741312463</v>
      </c>
      <c r="P2" s="6">
        <f>O2</f>
        <v>55.610824741312463</v>
      </c>
      <c r="Q2" s="6">
        <f t="shared" ref="Q2" si="1">P2</f>
        <v>55.610824741312463</v>
      </c>
      <c r="R2" s="6">
        <f t="shared" ref="R2" si="2">Q2</f>
        <v>55.610824741312463</v>
      </c>
      <c r="S2" s="6">
        <f t="shared" ref="S2" si="3">R2</f>
        <v>55.610824741312463</v>
      </c>
      <c r="T2" s="6">
        <f t="shared" ref="T2" si="4">S2</f>
        <v>55.610824741312463</v>
      </c>
      <c r="U2" s="6">
        <f t="shared" ref="U2" si="5">T2</f>
        <v>55.610824741312463</v>
      </c>
      <c r="V2" s="6">
        <f t="shared" ref="V2" si="6">U2</f>
        <v>55.610824741312463</v>
      </c>
      <c r="W2" s="6">
        <f t="shared" ref="W2" si="7">V2</f>
        <v>55.610824741312463</v>
      </c>
      <c r="X2" s="6">
        <f t="shared" ref="X2" si="8">W2</f>
        <v>55.610824741312463</v>
      </c>
      <c r="Y2" s="6">
        <f t="shared" ref="Y2" si="9">X2</f>
        <v>55.610824741312463</v>
      </c>
      <c r="Z2" s="6">
        <f t="shared" ref="Z2" si="10">Y2</f>
        <v>55.610824741312463</v>
      </c>
      <c r="AA2" s="6">
        <f t="shared" ref="AA2" si="11">Z2</f>
        <v>55.610824741312463</v>
      </c>
      <c r="AB2" s="6">
        <f t="shared" ref="AB2" si="12">AA2</f>
        <v>55.610824741312463</v>
      </c>
      <c r="AC2" s="6">
        <f t="shared" ref="AC2" si="13">AB2</f>
        <v>55.610824741312463</v>
      </c>
      <c r="AD2" s="6">
        <f t="shared" ref="AD2" si="14">AC2</f>
        <v>55.610824741312463</v>
      </c>
      <c r="AE2" s="6">
        <f t="shared" ref="AE2" si="15">AD2</f>
        <v>55.610824741312463</v>
      </c>
      <c r="AF2" s="6">
        <f t="shared" ref="AF2" si="16">AE2</f>
        <v>55.610824741312463</v>
      </c>
      <c r="AG2" s="6">
        <f t="shared" ref="AG2" si="17">AF2</f>
        <v>55.610824741312463</v>
      </c>
      <c r="AH2" s="6">
        <f t="shared" ref="AH2" si="18">AG2</f>
        <v>55.610824741312463</v>
      </c>
      <c r="AI2" s="6">
        <f t="shared" ref="AI2" si="19">AH2</f>
        <v>55.610824741312463</v>
      </c>
    </row>
    <row r="3" spans="1:35" x14ac:dyDescent="0.25">
      <c r="A3" s="32" t="str">
        <f>A2</f>
        <v>BASE_PMR1b</v>
      </c>
      <c r="B3" s="8" t="s">
        <v>18</v>
      </c>
      <c r="C3" s="4" t="s">
        <v>3</v>
      </c>
      <c r="D3" s="9">
        <v>816</v>
      </c>
      <c r="E3" s="9">
        <v>816</v>
      </c>
      <c r="F3" s="9">
        <v>816</v>
      </c>
      <c r="G3" s="9">
        <v>816</v>
      </c>
      <c r="H3" s="9">
        <v>816</v>
      </c>
      <c r="I3" s="9">
        <v>816</v>
      </c>
      <c r="J3" s="13">
        <f>extendable_generators!J2</f>
        <v>388.87</v>
      </c>
      <c r="K3" s="13">
        <f>extendable_generators!K2</f>
        <v>388.6</v>
      </c>
      <c r="L3" s="13">
        <f>extendable_generators!L2</f>
        <v>386.77</v>
      </c>
      <c r="M3" s="13">
        <f>extendable_generators!M2</f>
        <v>384.37</v>
      </c>
      <c r="N3" s="13">
        <f>extendable_generators!N2</f>
        <v>382.13</v>
      </c>
      <c r="O3" s="13">
        <f>extendable_generators!O2</f>
        <v>381.53</v>
      </c>
      <c r="P3" s="13">
        <f>extendable_generators!P2</f>
        <v>383.6</v>
      </c>
      <c r="Q3" s="13">
        <f>extendable_generators!Q2</f>
        <v>381.66</v>
      </c>
      <c r="R3" s="13">
        <f>extendable_generators!R2</f>
        <v>386.9</v>
      </c>
      <c r="S3" s="13">
        <f>extendable_generators!S2</f>
        <v>389.56</v>
      </c>
      <c r="T3" s="13">
        <f>extendable_generators!T2</f>
        <v>390.76</v>
      </c>
      <c r="U3" s="13">
        <f>extendable_generators!U2</f>
        <v>391.8</v>
      </c>
      <c r="V3" s="13">
        <f>extendable_generators!V2</f>
        <v>394.01</v>
      </c>
      <c r="W3" s="13">
        <f>extendable_generators!W2</f>
        <v>395.09</v>
      </c>
      <c r="X3" s="13">
        <f>extendable_generators!X2</f>
        <v>397.38</v>
      </c>
      <c r="Y3" s="13">
        <f>extendable_generators!Y2</f>
        <v>399.25</v>
      </c>
      <c r="Z3" s="13">
        <f>extendable_generators!Z2</f>
        <v>400.63</v>
      </c>
      <c r="AA3" s="13">
        <f>extendable_generators!AA2</f>
        <v>400.03</v>
      </c>
      <c r="AB3" s="13">
        <f>extendable_generators!AB2</f>
        <v>404.73</v>
      </c>
      <c r="AC3" s="13">
        <f>extendable_generators!AC2</f>
        <v>404.67</v>
      </c>
      <c r="AD3" s="13">
        <f>extendable_generators!AD2</f>
        <v>406.38</v>
      </c>
      <c r="AE3" s="13">
        <f>extendable_generators!AE2</f>
        <v>408.01</v>
      </c>
      <c r="AF3" s="13">
        <f>extendable_generators!AF2</f>
        <v>417.44</v>
      </c>
      <c r="AG3" s="13">
        <f>extendable_generators!AG2</f>
        <v>419.63</v>
      </c>
      <c r="AH3" s="13">
        <f>extendable_generators!AH2</f>
        <v>422.8</v>
      </c>
      <c r="AI3" s="13">
        <f>extendable_generators!AI2</f>
        <v>424.07</v>
      </c>
    </row>
    <row r="4" spans="1:35" x14ac:dyDescent="0.25">
      <c r="A4" s="32" t="str">
        <f>A3</f>
        <v>BASE_PMR1b</v>
      </c>
      <c r="B4" s="29" t="s">
        <v>19</v>
      </c>
      <c r="C4" s="4" t="s">
        <v>3</v>
      </c>
      <c r="J4" s="16">
        <f>0.74*J2</f>
        <v>27.928427577960285</v>
      </c>
      <c r="K4" s="16">
        <f t="shared" ref="K4:AI4" si="20">0.74*K2</f>
        <v>30.822512113036641</v>
      </c>
      <c r="L4" s="16">
        <f t="shared" si="20"/>
        <v>34.463068276396726</v>
      </c>
      <c r="M4" s="16">
        <f t="shared" si="20"/>
        <v>36.484393658946132</v>
      </c>
      <c r="N4" s="16">
        <f t="shared" si="20"/>
        <v>38.740918922054213</v>
      </c>
      <c r="O4" s="16">
        <f t="shared" si="20"/>
        <v>41.152010308571221</v>
      </c>
      <c r="P4" s="16">
        <f t="shared" si="20"/>
        <v>41.152010308571221</v>
      </c>
      <c r="Q4" s="16">
        <f t="shared" si="20"/>
        <v>41.152010308571221</v>
      </c>
      <c r="R4" s="16">
        <f t="shared" si="20"/>
        <v>41.152010308571221</v>
      </c>
      <c r="S4" s="16">
        <f t="shared" si="20"/>
        <v>41.152010308571221</v>
      </c>
      <c r="T4" s="16">
        <f t="shared" si="20"/>
        <v>41.152010308571221</v>
      </c>
      <c r="U4" s="16">
        <f t="shared" si="20"/>
        <v>41.152010308571221</v>
      </c>
      <c r="V4" s="16">
        <f t="shared" si="20"/>
        <v>41.152010308571221</v>
      </c>
      <c r="W4" s="16">
        <f t="shared" si="20"/>
        <v>41.152010308571221</v>
      </c>
      <c r="X4" s="16">
        <f t="shared" si="20"/>
        <v>41.152010308571221</v>
      </c>
      <c r="Y4" s="16">
        <f t="shared" si="20"/>
        <v>41.152010308571221</v>
      </c>
      <c r="Z4" s="16">
        <f t="shared" si="20"/>
        <v>41.152010308571221</v>
      </c>
      <c r="AA4" s="16">
        <f t="shared" si="20"/>
        <v>41.152010308571221</v>
      </c>
      <c r="AB4" s="16">
        <f t="shared" si="20"/>
        <v>41.152010308571221</v>
      </c>
      <c r="AC4" s="16">
        <f t="shared" si="20"/>
        <v>41.152010308571221</v>
      </c>
      <c r="AD4" s="16">
        <f t="shared" si="20"/>
        <v>41.152010308571221</v>
      </c>
      <c r="AE4" s="16">
        <f t="shared" si="20"/>
        <v>41.152010308571221</v>
      </c>
      <c r="AF4" s="16">
        <f t="shared" si="20"/>
        <v>41.152010308571221</v>
      </c>
      <c r="AG4" s="16">
        <f t="shared" si="20"/>
        <v>41.152010308571221</v>
      </c>
      <c r="AH4" s="16">
        <f t="shared" si="20"/>
        <v>41.152010308571221</v>
      </c>
      <c r="AI4" s="16">
        <f t="shared" si="20"/>
        <v>41.152010308571221</v>
      </c>
    </row>
    <row r="5" spans="1:35" x14ac:dyDescent="0.25">
      <c r="A5" s="32" t="str">
        <f>A4</f>
        <v>BASE_PMR1b</v>
      </c>
      <c r="B5" s="28" t="s">
        <v>20</v>
      </c>
      <c r="C5" s="4" t="s">
        <v>3</v>
      </c>
      <c r="J5" s="16">
        <f>1.06*J2</f>
        <v>40.005585449510683</v>
      </c>
      <c r="K5" s="16">
        <f t="shared" ref="K5:AI5" si="21">1.06*K2</f>
        <v>44.151165999755193</v>
      </c>
      <c r="L5" s="16">
        <f t="shared" si="21"/>
        <v>49.366016720243962</v>
      </c>
      <c r="M5" s="16">
        <f t="shared" si="21"/>
        <v>52.261428754706628</v>
      </c>
      <c r="N5" s="16">
        <f t="shared" si="21"/>
        <v>55.493748726185771</v>
      </c>
      <c r="O5" s="16">
        <f t="shared" si="21"/>
        <v>58.947474225791211</v>
      </c>
      <c r="P5" s="16">
        <f t="shared" si="21"/>
        <v>58.947474225791211</v>
      </c>
      <c r="Q5" s="16">
        <f t="shared" si="21"/>
        <v>58.947474225791211</v>
      </c>
      <c r="R5" s="16">
        <f t="shared" si="21"/>
        <v>58.947474225791211</v>
      </c>
      <c r="S5" s="16">
        <f t="shared" si="21"/>
        <v>58.947474225791211</v>
      </c>
      <c r="T5" s="16">
        <f t="shared" si="21"/>
        <v>58.947474225791211</v>
      </c>
      <c r="U5" s="16">
        <f t="shared" si="21"/>
        <v>58.947474225791211</v>
      </c>
      <c r="V5" s="16">
        <f t="shared" si="21"/>
        <v>58.947474225791211</v>
      </c>
      <c r="W5" s="16">
        <f t="shared" si="21"/>
        <v>58.947474225791211</v>
      </c>
      <c r="X5" s="16">
        <f t="shared" si="21"/>
        <v>58.947474225791211</v>
      </c>
      <c r="Y5" s="16">
        <f t="shared" si="21"/>
        <v>58.947474225791211</v>
      </c>
      <c r="Z5" s="16">
        <f t="shared" si="21"/>
        <v>58.947474225791211</v>
      </c>
      <c r="AA5" s="16">
        <f t="shared" si="21"/>
        <v>58.947474225791211</v>
      </c>
      <c r="AB5" s="16">
        <f t="shared" si="21"/>
        <v>58.947474225791211</v>
      </c>
      <c r="AC5" s="16">
        <f t="shared" si="21"/>
        <v>58.947474225791211</v>
      </c>
      <c r="AD5" s="16">
        <f t="shared" si="21"/>
        <v>58.947474225791211</v>
      </c>
      <c r="AE5" s="16">
        <f t="shared" si="21"/>
        <v>58.947474225791211</v>
      </c>
      <c r="AF5" s="16">
        <f t="shared" si="21"/>
        <v>58.947474225791211</v>
      </c>
      <c r="AG5" s="16">
        <f t="shared" si="21"/>
        <v>58.947474225791211</v>
      </c>
      <c r="AH5" s="16">
        <f t="shared" si="21"/>
        <v>58.947474225791211</v>
      </c>
      <c r="AI5" s="16">
        <f t="shared" si="21"/>
        <v>58.947474225791211</v>
      </c>
    </row>
    <row r="6" spans="1:35" x14ac:dyDescent="0.25">
      <c r="A6" s="32" t="str">
        <f>A5</f>
        <v>BASE_PMR1b</v>
      </c>
      <c r="B6" s="30" t="s">
        <v>21</v>
      </c>
      <c r="C6" s="25" t="s">
        <v>3</v>
      </c>
      <c r="D6" s="26"/>
      <c r="E6" s="26"/>
      <c r="F6" s="26"/>
      <c r="G6" s="26"/>
      <c r="H6" s="26"/>
      <c r="I6" s="26"/>
      <c r="J6" s="27">
        <f>1.28*J2</f>
        <v>48.308631486201577</v>
      </c>
      <c r="K6" s="27">
        <f t="shared" ref="K6:AI6" si="22">1.28*K2</f>
        <v>53.314615546874194</v>
      </c>
      <c r="L6" s="27">
        <f t="shared" si="22"/>
        <v>59.611793775388932</v>
      </c>
      <c r="M6" s="27">
        <f t="shared" si="22"/>
        <v>63.108140383041963</v>
      </c>
      <c r="N6" s="27">
        <f t="shared" si="22"/>
        <v>67.011319216526203</v>
      </c>
      <c r="O6" s="27">
        <f t="shared" si="22"/>
        <v>71.181855668879948</v>
      </c>
      <c r="P6" s="27">
        <f t="shared" si="22"/>
        <v>71.181855668879948</v>
      </c>
      <c r="Q6" s="27">
        <f t="shared" si="22"/>
        <v>71.181855668879948</v>
      </c>
      <c r="R6" s="27">
        <f t="shared" si="22"/>
        <v>71.181855668879948</v>
      </c>
      <c r="S6" s="27">
        <f t="shared" si="22"/>
        <v>71.181855668879948</v>
      </c>
      <c r="T6" s="27">
        <f t="shared" si="22"/>
        <v>71.181855668879948</v>
      </c>
      <c r="U6" s="27">
        <f t="shared" si="22"/>
        <v>71.181855668879948</v>
      </c>
      <c r="V6" s="27">
        <f t="shared" si="22"/>
        <v>71.181855668879948</v>
      </c>
      <c r="W6" s="27">
        <f t="shared" si="22"/>
        <v>71.181855668879948</v>
      </c>
      <c r="X6" s="27">
        <f t="shared" si="22"/>
        <v>71.181855668879948</v>
      </c>
      <c r="Y6" s="27">
        <f t="shared" si="22"/>
        <v>71.181855668879948</v>
      </c>
      <c r="Z6" s="27">
        <f t="shared" si="22"/>
        <v>71.181855668879948</v>
      </c>
      <c r="AA6" s="27">
        <f t="shared" si="22"/>
        <v>71.181855668879948</v>
      </c>
      <c r="AB6" s="27">
        <f t="shared" si="22"/>
        <v>71.181855668879948</v>
      </c>
      <c r="AC6" s="27">
        <f t="shared" si="22"/>
        <v>71.181855668879948</v>
      </c>
      <c r="AD6" s="27">
        <f t="shared" si="22"/>
        <v>71.181855668879948</v>
      </c>
      <c r="AE6" s="27">
        <f t="shared" si="22"/>
        <v>71.181855668879948</v>
      </c>
      <c r="AF6" s="27">
        <f t="shared" si="22"/>
        <v>71.181855668879948</v>
      </c>
      <c r="AG6" s="27">
        <f t="shared" si="22"/>
        <v>71.181855668879948</v>
      </c>
      <c r="AH6" s="27">
        <f t="shared" si="22"/>
        <v>71.181855668879948</v>
      </c>
      <c r="AI6" s="27">
        <f t="shared" si="22"/>
        <v>71.181855668879948</v>
      </c>
    </row>
  </sheetData>
  <autoFilter ref="A1:C1" xr:uid="{00000000-0001-0000-0000-000000000000}"/>
  <phoneticPr fontId="6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5"/>
  <sheetViews>
    <sheetView zoomScaleNormal="100" workbookViewId="0">
      <pane ySplit="1" topLeftCell="A6" activePane="bottomLeft" state="frozen"/>
      <selection activeCell="L1" sqref="L1"/>
      <selection pane="bottomLeft" activeCell="AD27" sqref="AD27"/>
    </sheetView>
  </sheetViews>
  <sheetFormatPr baseColWidth="10" defaultColWidth="8.42578125" defaultRowHeight="15" x14ac:dyDescent="0.25"/>
  <cols>
    <col min="1" max="1" width="17.42578125" customWidth="1"/>
    <col min="2" max="2" width="19.5703125" customWidth="1"/>
    <col min="3" max="3" width="16" customWidth="1"/>
    <col min="4" max="9" width="10.140625" hidden="1" customWidth="1"/>
    <col min="10" max="17" width="9.42578125" style="10" customWidth="1"/>
    <col min="18" max="18" width="8.42578125" style="10" customWidth="1"/>
    <col min="19" max="35" width="9.42578125" style="10" customWidth="1"/>
  </cols>
  <sheetData>
    <row r="1" spans="1:35" x14ac:dyDescent="0.25">
      <c r="A1" s="1" t="s">
        <v>0</v>
      </c>
      <c r="B1" s="1" t="s">
        <v>1</v>
      </c>
      <c r="C1" s="2" t="s">
        <v>2</v>
      </c>
      <c r="D1" s="2">
        <v>2019</v>
      </c>
      <c r="E1" s="2">
        <v>2020</v>
      </c>
      <c r="F1" s="2">
        <f t="shared" ref="F1:AI1" si="0">E1+1</f>
        <v>2021</v>
      </c>
      <c r="G1" s="2">
        <f t="shared" si="0"/>
        <v>2022</v>
      </c>
      <c r="H1" s="2">
        <f t="shared" si="0"/>
        <v>2023</v>
      </c>
      <c r="I1" s="2">
        <f t="shared" si="0"/>
        <v>2024</v>
      </c>
      <c r="J1" s="11">
        <f t="shared" si="0"/>
        <v>2025</v>
      </c>
      <c r="K1" s="11">
        <f t="shared" si="0"/>
        <v>2026</v>
      </c>
      <c r="L1" s="11">
        <f t="shared" si="0"/>
        <v>2027</v>
      </c>
      <c r="M1" s="11">
        <f t="shared" si="0"/>
        <v>2028</v>
      </c>
      <c r="N1" s="11">
        <f t="shared" si="0"/>
        <v>2029</v>
      </c>
      <c r="O1" s="11">
        <f t="shared" si="0"/>
        <v>2030</v>
      </c>
      <c r="P1" s="11">
        <f t="shared" si="0"/>
        <v>2031</v>
      </c>
      <c r="Q1" s="11">
        <f t="shared" si="0"/>
        <v>2032</v>
      </c>
      <c r="R1" s="11">
        <f t="shared" si="0"/>
        <v>2033</v>
      </c>
      <c r="S1" s="11">
        <f t="shared" si="0"/>
        <v>2034</v>
      </c>
      <c r="T1" s="11">
        <f t="shared" si="0"/>
        <v>2035</v>
      </c>
      <c r="U1" s="11">
        <f t="shared" si="0"/>
        <v>2036</v>
      </c>
      <c r="V1" s="11">
        <f t="shared" si="0"/>
        <v>2037</v>
      </c>
      <c r="W1" s="11">
        <f t="shared" si="0"/>
        <v>2038</v>
      </c>
      <c r="X1" s="11">
        <f t="shared" si="0"/>
        <v>2039</v>
      </c>
      <c r="Y1" s="11">
        <f t="shared" si="0"/>
        <v>2040</v>
      </c>
      <c r="Z1" s="11">
        <f t="shared" si="0"/>
        <v>2041</v>
      </c>
      <c r="AA1" s="11">
        <f t="shared" si="0"/>
        <v>2042</v>
      </c>
      <c r="AB1" s="11">
        <f t="shared" si="0"/>
        <v>2043</v>
      </c>
      <c r="AC1" s="11">
        <f t="shared" si="0"/>
        <v>2044</v>
      </c>
      <c r="AD1" s="11">
        <f t="shared" si="0"/>
        <v>2045</v>
      </c>
      <c r="AE1" s="11">
        <f t="shared" si="0"/>
        <v>2046</v>
      </c>
      <c r="AF1" s="11">
        <f t="shared" si="0"/>
        <v>2047</v>
      </c>
      <c r="AG1" s="11">
        <f t="shared" si="0"/>
        <v>2048</v>
      </c>
      <c r="AH1" s="11">
        <f t="shared" si="0"/>
        <v>2049</v>
      </c>
      <c r="AI1" s="11">
        <f t="shared" si="0"/>
        <v>2050</v>
      </c>
    </row>
    <row r="2" spans="1:35" x14ac:dyDescent="0.25">
      <c r="A2" s="31" t="s">
        <v>22</v>
      </c>
      <c r="B2" s="18" t="s">
        <v>4</v>
      </c>
      <c r="C2" s="18" t="s">
        <v>5</v>
      </c>
      <c r="D2" s="3">
        <v>506.07771300000002</v>
      </c>
      <c r="E2" s="3">
        <v>509.25356820000002</v>
      </c>
      <c r="F2" s="3">
        <v>510.86624319999999</v>
      </c>
      <c r="G2" s="3">
        <v>513.04640219999999</v>
      </c>
      <c r="H2" s="3">
        <v>515.2993778</v>
      </c>
      <c r="I2" s="3">
        <v>517.93450080000002</v>
      </c>
      <c r="J2" s="14">
        <v>388.87</v>
      </c>
      <c r="K2" s="14">
        <v>388.6</v>
      </c>
      <c r="L2" s="14">
        <v>386.77</v>
      </c>
      <c r="M2" s="14">
        <v>384.37</v>
      </c>
      <c r="N2" s="14">
        <v>382.13</v>
      </c>
      <c r="O2" s="14">
        <v>381.53</v>
      </c>
      <c r="P2" s="14">
        <v>383.6</v>
      </c>
      <c r="Q2" s="14">
        <v>381.66</v>
      </c>
      <c r="R2" s="14">
        <v>386.9</v>
      </c>
      <c r="S2" s="14">
        <v>389.56</v>
      </c>
      <c r="T2" s="14">
        <v>390.76</v>
      </c>
      <c r="U2" s="14">
        <v>391.8</v>
      </c>
      <c r="V2" s="14">
        <v>394.01</v>
      </c>
      <c r="W2" s="14">
        <v>395.09</v>
      </c>
      <c r="X2" s="14">
        <v>397.38</v>
      </c>
      <c r="Y2" s="14">
        <v>399.25</v>
      </c>
      <c r="Z2" s="14">
        <v>400.63</v>
      </c>
      <c r="AA2" s="14">
        <v>400.03</v>
      </c>
      <c r="AB2" s="14">
        <v>404.73</v>
      </c>
      <c r="AC2" s="14">
        <v>404.67</v>
      </c>
      <c r="AD2" s="14">
        <v>406.38</v>
      </c>
      <c r="AE2" s="14">
        <v>408.01</v>
      </c>
      <c r="AF2" s="14">
        <v>417.44</v>
      </c>
      <c r="AG2" s="14">
        <v>419.63</v>
      </c>
      <c r="AH2" s="14">
        <v>422.8</v>
      </c>
      <c r="AI2" s="14">
        <v>424.07</v>
      </c>
    </row>
    <row r="3" spans="1:35" x14ac:dyDescent="0.25">
      <c r="A3" s="31" t="str">
        <f>A2</f>
        <v>BASE_PMR1b</v>
      </c>
      <c r="B3" s="17" t="s">
        <v>6</v>
      </c>
      <c r="C3" s="17" t="s">
        <v>5</v>
      </c>
      <c r="D3" s="7">
        <v>506.07771300000002</v>
      </c>
      <c r="E3" s="7">
        <v>509.25356820000002</v>
      </c>
      <c r="F3" s="7">
        <v>510.86624319999999</v>
      </c>
      <c r="G3" s="7">
        <v>513.04640219999999</v>
      </c>
      <c r="H3" s="7">
        <v>515.2993778</v>
      </c>
      <c r="I3" s="7">
        <v>517.93450080000002</v>
      </c>
      <c r="J3" s="14">
        <f>J2</f>
        <v>388.87</v>
      </c>
      <c r="K3" s="14">
        <f t="shared" ref="K3:AI3" si="1">K2</f>
        <v>388.6</v>
      </c>
      <c r="L3" s="14">
        <f t="shared" si="1"/>
        <v>386.77</v>
      </c>
      <c r="M3" s="14">
        <f t="shared" si="1"/>
        <v>384.37</v>
      </c>
      <c r="N3" s="14">
        <f t="shared" si="1"/>
        <v>382.13</v>
      </c>
      <c r="O3" s="14">
        <f t="shared" si="1"/>
        <v>381.53</v>
      </c>
      <c r="P3" s="14">
        <f t="shared" si="1"/>
        <v>383.6</v>
      </c>
      <c r="Q3" s="14">
        <f t="shared" si="1"/>
        <v>381.66</v>
      </c>
      <c r="R3" s="14">
        <f t="shared" si="1"/>
        <v>386.9</v>
      </c>
      <c r="S3" s="14">
        <f t="shared" si="1"/>
        <v>389.56</v>
      </c>
      <c r="T3" s="14">
        <f t="shared" si="1"/>
        <v>390.76</v>
      </c>
      <c r="U3" s="14">
        <f t="shared" si="1"/>
        <v>391.8</v>
      </c>
      <c r="V3" s="14">
        <f t="shared" si="1"/>
        <v>394.01</v>
      </c>
      <c r="W3" s="14">
        <f t="shared" si="1"/>
        <v>395.09</v>
      </c>
      <c r="X3" s="14">
        <f t="shared" si="1"/>
        <v>397.38</v>
      </c>
      <c r="Y3" s="14">
        <f t="shared" si="1"/>
        <v>399.25</v>
      </c>
      <c r="Z3" s="14">
        <f t="shared" si="1"/>
        <v>400.63</v>
      </c>
      <c r="AA3" s="14">
        <f t="shared" si="1"/>
        <v>400.03</v>
      </c>
      <c r="AB3" s="14">
        <f t="shared" si="1"/>
        <v>404.73</v>
      </c>
      <c r="AC3" s="14">
        <f t="shared" si="1"/>
        <v>404.67</v>
      </c>
      <c r="AD3" s="14">
        <f t="shared" si="1"/>
        <v>406.38</v>
      </c>
      <c r="AE3" s="14">
        <f t="shared" si="1"/>
        <v>408.01</v>
      </c>
      <c r="AF3" s="14">
        <f t="shared" si="1"/>
        <v>417.44</v>
      </c>
      <c r="AG3" s="14">
        <f t="shared" si="1"/>
        <v>419.63</v>
      </c>
      <c r="AH3" s="14">
        <f t="shared" si="1"/>
        <v>422.8</v>
      </c>
      <c r="AI3" s="14">
        <f t="shared" si="1"/>
        <v>424.07</v>
      </c>
    </row>
    <row r="4" spans="1:35" x14ac:dyDescent="0.25">
      <c r="A4" s="31" t="str">
        <f t="shared" ref="A4:A13" si="2">A3</f>
        <v>BASE_PMR1b</v>
      </c>
      <c r="B4" s="18" t="s">
        <v>7</v>
      </c>
      <c r="C4" s="18" t="s">
        <v>5</v>
      </c>
      <c r="D4" s="3">
        <v>272</v>
      </c>
      <c r="E4" s="3">
        <v>272</v>
      </c>
      <c r="F4" s="3">
        <v>272</v>
      </c>
      <c r="G4" s="3">
        <v>272</v>
      </c>
      <c r="H4" s="3">
        <v>272</v>
      </c>
      <c r="I4" s="3">
        <v>272</v>
      </c>
      <c r="J4" s="20">
        <v>216.16</v>
      </c>
      <c r="K4" s="20">
        <v>215.99</v>
      </c>
      <c r="L4" s="20">
        <v>214.82</v>
      </c>
      <c r="M4" s="20">
        <v>213.29</v>
      </c>
      <c r="N4" s="20">
        <v>211.85</v>
      </c>
      <c r="O4" s="20">
        <v>211.47</v>
      </c>
      <c r="P4" s="20">
        <v>212.8</v>
      </c>
      <c r="Q4" s="20">
        <v>211.55</v>
      </c>
      <c r="R4" s="20">
        <v>214.9</v>
      </c>
      <c r="S4" s="20">
        <v>216.6</v>
      </c>
      <c r="T4" s="20">
        <v>217.37</v>
      </c>
      <c r="U4" s="20">
        <v>218.03</v>
      </c>
      <c r="V4" s="20">
        <v>219.44</v>
      </c>
      <c r="W4" s="20">
        <v>220.13</v>
      </c>
      <c r="X4" s="20">
        <v>221.6</v>
      </c>
      <c r="Y4" s="20">
        <v>222.79</v>
      </c>
      <c r="Z4" s="20">
        <v>223.67</v>
      </c>
      <c r="AA4" s="20">
        <v>223.29</v>
      </c>
      <c r="AB4" s="20">
        <v>226.29</v>
      </c>
      <c r="AC4" s="20">
        <v>226.25</v>
      </c>
      <c r="AD4" s="20">
        <v>227.34</v>
      </c>
      <c r="AE4" s="20">
        <v>228.38</v>
      </c>
      <c r="AF4" s="20">
        <v>234.4</v>
      </c>
      <c r="AG4" s="20">
        <v>235.81</v>
      </c>
      <c r="AH4" s="20">
        <v>237.83</v>
      </c>
      <c r="AI4" s="20">
        <v>238.64</v>
      </c>
    </row>
    <row r="5" spans="1:35" x14ac:dyDescent="0.25">
      <c r="A5" s="31" t="str">
        <f t="shared" si="2"/>
        <v>BASE_PMR1b</v>
      </c>
      <c r="B5" s="17" t="s">
        <v>8</v>
      </c>
      <c r="C5" s="17" t="s">
        <v>5</v>
      </c>
      <c r="D5" s="7">
        <v>272</v>
      </c>
      <c r="E5" s="7">
        <v>272</v>
      </c>
      <c r="F5" s="7">
        <v>272</v>
      </c>
      <c r="G5" s="7">
        <v>272</v>
      </c>
      <c r="H5" s="7">
        <v>272</v>
      </c>
      <c r="I5" s="7">
        <v>272</v>
      </c>
      <c r="J5" s="21">
        <f>J4</f>
        <v>216.16</v>
      </c>
      <c r="K5" s="21">
        <f t="shared" ref="K5:X5" si="3">K4</f>
        <v>215.99</v>
      </c>
      <c r="L5" s="21">
        <f t="shared" si="3"/>
        <v>214.82</v>
      </c>
      <c r="M5" s="21">
        <f t="shared" si="3"/>
        <v>213.29</v>
      </c>
      <c r="N5" s="21">
        <f t="shared" si="3"/>
        <v>211.85</v>
      </c>
      <c r="O5" s="21">
        <f t="shared" si="3"/>
        <v>211.47</v>
      </c>
      <c r="P5" s="21">
        <f t="shared" si="3"/>
        <v>212.8</v>
      </c>
      <c r="Q5" s="21">
        <f t="shared" si="3"/>
        <v>211.55</v>
      </c>
      <c r="R5" s="21">
        <f t="shared" si="3"/>
        <v>214.9</v>
      </c>
      <c r="S5" s="21">
        <f t="shared" si="3"/>
        <v>216.6</v>
      </c>
      <c r="T5" s="21">
        <f t="shared" si="3"/>
        <v>217.37</v>
      </c>
      <c r="U5" s="21">
        <f t="shared" si="3"/>
        <v>218.03</v>
      </c>
      <c r="V5" s="21">
        <f t="shared" si="3"/>
        <v>219.44</v>
      </c>
      <c r="W5" s="21">
        <f t="shared" si="3"/>
        <v>220.13</v>
      </c>
      <c r="X5" s="21">
        <f t="shared" si="3"/>
        <v>221.6</v>
      </c>
      <c r="Y5" s="15">
        <f>Y2</f>
        <v>399.25</v>
      </c>
      <c r="Z5" s="15">
        <f t="shared" ref="Z5:AI5" si="4">Z2</f>
        <v>400.63</v>
      </c>
      <c r="AA5" s="15">
        <f t="shared" si="4"/>
        <v>400.03</v>
      </c>
      <c r="AB5" s="15">
        <f t="shared" si="4"/>
        <v>404.73</v>
      </c>
      <c r="AC5" s="15">
        <f t="shared" si="4"/>
        <v>404.67</v>
      </c>
      <c r="AD5" s="15">
        <f t="shared" si="4"/>
        <v>406.38</v>
      </c>
      <c r="AE5" s="15">
        <f t="shared" si="4"/>
        <v>408.01</v>
      </c>
      <c r="AF5" s="15">
        <f t="shared" si="4"/>
        <v>417.44</v>
      </c>
      <c r="AG5" s="15">
        <f t="shared" si="4"/>
        <v>419.63</v>
      </c>
      <c r="AH5" s="15">
        <f t="shared" si="4"/>
        <v>422.8</v>
      </c>
      <c r="AI5" s="15">
        <f t="shared" si="4"/>
        <v>424.07</v>
      </c>
    </row>
    <row r="6" spans="1:35" x14ac:dyDescent="0.25">
      <c r="A6" s="31" t="str">
        <f t="shared" si="2"/>
        <v>BASE_PMR1b</v>
      </c>
      <c r="B6" s="18" t="s">
        <v>9</v>
      </c>
      <c r="C6" s="18" t="s">
        <v>5</v>
      </c>
      <c r="D6" s="3">
        <v>272</v>
      </c>
      <c r="E6" s="3">
        <v>272</v>
      </c>
      <c r="F6" s="3">
        <v>272</v>
      </c>
      <c r="G6" s="3">
        <v>272</v>
      </c>
      <c r="H6" s="3">
        <v>272</v>
      </c>
      <c r="I6" s="3">
        <v>272</v>
      </c>
      <c r="J6" s="21">
        <f>J4</f>
        <v>216.16</v>
      </c>
      <c r="K6" s="21">
        <f t="shared" ref="K6:AC6" si="5">K4</f>
        <v>215.99</v>
      </c>
      <c r="L6" s="21">
        <f t="shared" si="5"/>
        <v>214.82</v>
      </c>
      <c r="M6" s="21">
        <f t="shared" si="5"/>
        <v>213.29</v>
      </c>
      <c r="N6" s="21">
        <f t="shared" si="5"/>
        <v>211.85</v>
      </c>
      <c r="O6" s="21">
        <f t="shared" si="5"/>
        <v>211.47</v>
      </c>
      <c r="P6" s="21">
        <f t="shared" si="5"/>
        <v>212.8</v>
      </c>
      <c r="Q6" s="21">
        <f t="shared" si="5"/>
        <v>211.55</v>
      </c>
      <c r="R6" s="21">
        <f t="shared" si="5"/>
        <v>214.9</v>
      </c>
      <c r="S6" s="21">
        <f t="shared" si="5"/>
        <v>216.6</v>
      </c>
      <c r="T6" s="21">
        <f t="shared" si="5"/>
        <v>217.37</v>
      </c>
      <c r="U6" s="21">
        <f t="shared" si="5"/>
        <v>218.03</v>
      </c>
      <c r="V6" s="21">
        <f t="shared" si="5"/>
        <v>219.44</v>
      </c>
      <c r="W6" s="21">
        <f t="shared" si="5"/>
        <v>220.13</v>
      </c>
      <c r="X6" s="21">
        <f t="shared" si="5"/>
        <v>221.6</v>
      </c>
      <c r="Y6" s="21">
        <f t="shared" si="5"/>
        <v>222.79</v>
      </c>
      <c r="Z6" s="21">
        <f t="shared" si="5"/>
        <v>223.67</v>
      </c>
      <c r="AA6" s="21">
        <f t="shared" si="5"/>
        <v>223.29</v>
      </c>
      <c r="AB6" s="21">
        <f t="shared" si="5"/>
        <v>226.29</v>
      </c>
      <c r="AC6" s="21">
        <f t="shared" si="5"/>
        <v>226.25</v>
      </c>
      <c r="AD6" s="14">
        <f>AD2</f>
        <v>406.38</v>
      </c>
      <c r="AE6" s="14">
        <f t="shared" ref="AE6:AI6" si="6">AE2</f>
        <v>408.01</v>
      </c>
      <c r="AF6" s="14">
        <f t="shared" si="6"/>
        <v>417.44</v>
      </c>
      <c r="AG6" s="14">
        <f t="shared" si="6"/>
        <v>419.63</v>
      </c>
      <c r="AH6" s="14">
        <f t="shared" si="6"/>
        <v>422.8</v>
      </c>
      <c r="AI6" s="14">
        <f t="shared" si="6"/>
        <v>424.07</v>
      </c>
    </row>
    <row r="7" spans="1:35" x14ac:dyDescent="0.25">
      <c r="A7" s="31" t="str">
        <f t="shared" si="2"/>
        <v>BASE_PMR1b</v>
      </c>
      <c r="B7" s="17" t="s">
        <v>10</v>
      </c>
      <c r="C7" s="17" t="s">
        <v>5</v>
      </c>
      <c r="D7" s="7">
        <v>272</v>
      </c>
      <c r="E7" s="7">
        <v>272</v>
      </c>
      <c r="F7" s="7">
        <v>272</v>
      </c>
      <c r="G7" s="7">
        <v>272</v>
      </c>
      <c r="H7" s="7">
        <v>272</v>
      </c>
      <c r="I7" s="7">
        <v>272</v>
      </c>
      <c r="J7" s="21">
        <f>J4</f>
        <v>216.16</v>
      </c>
      <c r="K7" s="21">
        <f t="shared" ref="K7:AH7" si="7">K4</f>
        <v>215.99</v>
      </c>
      <c r="L7" s="21">
        <f t="shared" si="7"/>
        <v>214.82</v>
      </c>
      <c r="M7" s="21">
        <f t="shared" si="7"/>
        <v>213.29</v>
      </c>
      <c r="N7" s="21">
        <f t="shared" si="7"/>
        <v>211.85</v>
      </c>
      <c r="O7" s="21">
        <f t="shared" si="7"/>
        <v>211.47</v>
      </c>
      <c r="P7" s="21">
        <f t="shared" si="7"/>
        <v>212.8</v>
      </c>
      <c r="Q7" s="21">
        <f t="shared" si="7"/>
        <v>211.55</v>
      </c>
      <c r="R7" s="21">
        <f t="shared" si="7"/>
        <v>214.9</v>
      </c>
      <c r="S7" s="21">
        <f t="shared" si="7"/>
        <v>216.6</v>
      </c>
      <c r="T7" s="21">
        <f t="shared" si="7"/>
        <v>217.37</v>
      </c>
      <c r="U7" s="21">
        <f t="shared" si="7"/>
        <v>218.03</v>
      </c>
      <c r="V7" s="21">
        <f t="shared" si="7"/>
        <v>219.44</v>
      </c>
      <c r="W7" s="21">
        <f t="shared" si="7"/>
        <v>220.13</v>
      </c>
      <c r="X7" s="21">
        <f t="shared" si="7"/>
        <v>221.6</v>
      </c>
      <c r="Y7" s="21">
        <f t="shared" si="7"/>
        <v>222.79</v>
      </c>
      <c r="Z7" s="21">
        <f t="shared" si="7"/>
        <v>223.67</v>
      </c>
      <c r="AA7" s="21">
        <f t="shared" si="7"/>
        <v>223.29</v>
      </c>
      <c r="AB7" s="21">
        <f t="shared" si="7"/>
        <v>226.29</v>
      </c>
      <c r="AC7" s="21">
        <f t="shared" si="7"/>
        <v>226.25</v>
      </c>
      <c r="AD7" s="21">
        <f t="shared" si="7"/>
        <v>227.34</v>
      </c>
      <c r="AE7" s="21">
        <f t="shared" si="7"/>
        <v>228.38</v>
      </c>
      <c r="AF7" s="21">
        <f t="shared" si="7"/>
        <v>234.4</v>
      </c>
      <c r="AG7" s="21">
        <f t="shared" si="7"/>
        <v>235.81</v>
      </c>
      <c r="AH7" s="21">
        <f t="shared" si="7"/>
        <v>237.83</v>
      </c>
      <c r="AI7" s="14">
        <f>AI2</f>
        <v>424.07</v>
      </c>
    </row>
    <row r="8" spans="1:35" x14ac:dyDescent="0.25">
      <c r="A8" s="31" t="str">
        <f t="shared" si="2"/>
        <v>BASE_PMR1b</v>
      </c>
      <c r="B8" s="18" t="s">
        <v>11</v>
      </c>
      <c r="C8" s="18" t="s">
        <v>5</v>
      </c>
      <c r="D8" s="3">
        <v>272</v>
      </c>
      <c r="E8" s="3">
        <v>272</v>
      </c>
      <c r="F8" s="3">
        <v>272</v>
      </c>
      <c r="G8" s="3">
        <v>272</v>
      </c>
      <c r="H8" s="3">
        <v>272</v>
      </c>
      <c r="I8" s="3">
        <v>272</v>
      </c>
      <c r="J8" s="21">
        <f>J4</f>
        <v>216.16</v>
      </c>
      <c r="K8" s="21">
        <f t="shared" ref="K8:AI8" si="8">K4</f>
        <v>215.99</v>
      </c>
      <c r="L8" s="21">
        <f t="shared" si="8"/>
        <v>214.82</v>
      </c>
      <c r="M8" s="21">
        <f t="shared" si="8"/>
        <v>213.29</v>
      </c>
      <c r="N8" s="21">
        <f t="shared" si="8"/>
        <v>211.85</v>
      </c>
      <c r="O8" s="21">
        <f t="shared" si="8"/>
        <v>211.47</v>
      </c>
      <c r="P8" s="21">
        <f t="shared" si="8"/>
        <v>212.8</v>
      </c>
      <c r="Q8" s="21">
        <f t="shared" si="8"/>
        <v>211.55</v>
      </c>
      <c r="R8" s="21">
        <f t="shared" si="8"/>
        <v>214.9</v>
      </c>
      <c r="S8" s="21">
        <f t="shared" si="8"/>
        <v>216.6</v>
      </c>
      <c r="T8" s="21">
        <f t="shared" si="8"/>
        <v>217.37</v>
      </c>
      <c r="U8" s="21">
        <f t="shared" si="8"/>
        <v>218.03</v>
      </c>
      <c r="V8" s="21">
        <f t="shared" si="8"/>
        <v>219.44</v>
      </c>
      <c r="W8" s="21">
        <f t="shared" si="8"/>
        <v>220.13</v>
      </c>
      <c r="X8" s="21">
        <f t="shared" si="8"/>
        <v>221.6</v>
      </c>
      <c r="Y8" s="21">
        <f t="shared" si="8"/>
        <v>222.79</v>
      </c>
      <c r="Z8" s="21">
        <f t="shared" si="8"/>
        <v>223.67</v>
      </c>
      <c r="AA8" s="21">
        <f t="shared" si="8"/>
        <v>223.29</v>
      </c>
      <c r="AB8" s="21">
        <f t="shared" si="8"/>
        <v>226.29</v>
      </c>
      <c r="AC8" s="21">
        <f t="shared" si="8"/>
        <v>226.25</v>
      </c>
      <c r="AD8" s="21">
        <f t="shared" si="8"/>
        <v>227.34</v>
      </c>
      <c r="AE8" s="21">
        <f t="shared" si="8"/>
        <v>228.38</v>
      </c>
      <c r="AF8" s="21">
        <f t="shared" si="8"/>
        <v>234.4</v>
      </c>
      <c r="AG8" s="21">
        <f t="shared" si="8"/>
        <v>235.81</v>
      </c>
      <c r="AH8" s="21">
        <f t="shared" si="8"/>
        <v>237.83</v>
      </c>
      <c r="AI8" s="21">
        <f t="shared" si="8"/>
        <v>238.64</v>
      </c>
    </row>
    <row r="9" spans="1:35" x14ac:dyDescent="0.25">
      <c r="A9" s="31" t="str">
        <f t="shared" si="2"/>
        <v>BASE_PMR1b</v>
      </c>
      <c r="B9" s="17" t="s">
        <v>12</v>
      </c>
      <c r="C9" s="17" t="s">
        <v>5</v>
      </c>
      <c r="D9" s="7">
        <v>272</v>
      </c>
      <c r="E9" s="7">
        <v>272</v>
      </c>
      <c r="F9" s="7">
        <v>272</v>
      </c>
      <c r="G9" s="7">
        <v>272</v>
      </c>
      <c r="H9" s="7">
        <v>272</v>
      </c>
      <c r="I9" s="7">
        <v>272</v>
      </c>
      <c r="J9" s="21">
        <f>J4</f>
        <v>216.16</v>
      </c>
      <c r="K9" s="21">
        <f t="shared" ref="K9:AI9" si="9">K4</f>
        <v>215.99</v>
      </c>
      <c r="L9" s="21">
        <f t="shared" si="9"/>
        <v>214.82</v>
      </c>
      <c r="M9" s="21">
        <f t="shared" si="9"/>
        <v>213.29</v>
      </c>
      <c r="N9" s="21">
        <f t="shared" si="9"/>
        <v>211.85</v>
      </c>
      <c r="O9" s="21">
        <f t="shared" si="9"/>
        <v>211.47</v>
      </c>
      <c r="P9" s="21">
        <f t="shared" si="9"/>
        <v>212.8</v>
      </c>
      <c r="Q9" s="21">
        <f t="shared" si="9"/>
        <v>211.55</v>
      </c>
      <c r="R9" s="21">
        <f t="shared" si="9"/>
        <v>214.9</v>
      </c>
      <c r="S9" s="21">
        <f t="shared" si="9"/>
        <v>216.6</v>
      </c>
      <c r="T9" s="21">
        <f t="shared" si="9"/>
        <v>217.37</v>
      </c>
      <c r="U9" s="21">
        <f t="shared" si="9"/>
        <v>218.03</v>
      </c>
      <c r="V9" s="21">
        <f t="shared" si="9"/>
        <v>219.44</v>
      </c>
      <c r="W9" s="21">
        <f t="shared" si="9"/>
        <v>220.13</v>
      </c>
      <c r="X9" s="21">
        <f t="shared" si="9"/>
        <v>221.6</v>
      </c>
      <c r="Y9" s="21">
        <f t="shared" si="9"/>
        <v>222.79</v>
      </c>
      <c r="Z9" s="21">
        <f t="shared" si="9"/>
        <v>223.67</v>
      </c>
      <c r="AA9" s="21">
        <f t="shared" si="9"/>
        <v>223.29</v>
      </c>
      <c r="AB9" s="21">
        <f t="shared" si="9"/>
        <v>226.29</v>
      </c>
      <c r="AC9" s="21">
        <f t="shared" si="9"/>
        <v>226.25</v>
      </c>
      <c r="AD9" s="21">
        <f t="shared" si="9"/>
        <v>227.34</v>
      </c>
      <c r="AE9" s="21">
        <f t="shared" si="9"/>
        <v>228.38</v>
      </c>
      <c r="AF9" s="21">
        <f t="shared" si="9"/>
        <v>234.4</v>
      </c>
      <c r="AG9" s="21">
        <f t="shared" si="9"/>
        <v>235.81</v>
      </c>
      <c r="AH9" s="21">
        <f t="shared" si="9"/>
        <v>237.83</v>
      </c>
      <c r="AI9" s="21">
        <f t="shared" si="9"/>
        <v>238.64</v>
      </c>
    </row>
    <row r="10" spans="1:35" x14ac:dyDescent="0.25">
      <c r="A10" s="31" t="str">
        <f t="shared" si="2"/>
        <v>BASE_PMR1b</v>
      </c>
      <c r="B10" s="18" t="s">
        <v>14</v>
      </c>
      <c r="C10" s="18" t="s">
        <v>5</v>
      </c>
      <c r="D10" s="3">
        <v>45.18</v>
      </c>
      <c r="E10" s="3">
        <v>45.18</v>
      </c>
      <c r="F10" s="3">
        <v>45.18</v>
      </c>
      <c r="G10" s="3">
        <v>45.18</v>
      </c>
      <c r="H10" s="3">
        <v>45.18</v>
      </c>
      <c r="I10" s="3">
        <v>45.18</v>
      </c>
      <c r="J10" s="22">
        <v>45</v>
      </c>
      <c r="K10" s="22">
        <v>45</v>
      </c>
      <c r="L10" s="22">
        <v>45</v>
      </c>
      <c r="M10" s="22">
        <v>45</v>
      </c>
      <c r="N10" s="22">
        <v>45</v>
      </c>
      <c r="O10" s="22">
        <v>45</v>
      </c>
      <c r="P10" s="22">
        <v>45</v>
      </c>
      <c r="Q10" s="22">
        <v>45</v>
      </c>
      <c r="R10" s="22">
        <v>45</v>
      </c>
      <c r="S10" s="22">
        <v>45</v>
      </c>
      <c r="T10" s="22">
        <v>45</v>
      </c>
      <c r="U10" s="22">
        <v>45</v>
      </c>
      <c r="V10" s="22">
        <v>45</v>
      </c>
      <c r="W10" s="22">
        <v>45</v>
      </c>
      <c r="X10" s="22">
        <v>45</v>
      </c>
      <c r="Y10" s="22">
        <v>45</v>
      </c>
      <c r="Z10" s="22">
        <v>45</v>
      </c>
      <c r="AA10" s="22">
        <v>45</v>
      </c>
      <c r="AB10" s="22">
        <v>45</v>
      </c>
      <c r="AC10" s="22">
        <v>45</v>
      </c>
      <c r="AD10" s="22">
        <v>45</v>
      </c>
      <c r="AE10" s="22">
        <v>45</v>
      </c>
      <c r="AF10" s="22">
        <v>45</v>
      </c>
      <c r="AG10" s="22">
        <v>45</v>
      </c>
      <c r="AH10" s="22">
        <v>45</v>
      </c>
      <c r="AI10" s="22">
        <v>45</v>
      </c>
    </row>
    <row r="11" spans="1:35" x14ac:dyDescent="0.25">
      <c r="A11" s="31" t="str">
        <f t="shared" si="2"/>
        <v>BASE_PMR1b</v>
      </c>
      <c r="B11" s="17" t="s">
        <v>15</v>
      </c>
      <c r="C11" s="17" t="s">
        <v>5</v>
      </c>
      <c r="D11" s="7">
        <v>18</v>
      </c>
      <c r="E11" s="7">
        <v>18</v>
      </c>
      <c r="F11" s="7">
        <v>18</v>
      </c>
      <c r="G11" s="7">
        <v>18</v>
      </c>
      <c r="H11" s="7">
        <v>18</v>
      </c>
      <c r="I11" s="7">
        <v>18</v>
      </c>
      <c r="J11" s="23">
        <v>18</v>
      </c>
      <c r="K11" s="23">
        <v>18</v>
      </c>
      <c r="L11" s="23">
        <v>18</v>
      </c>
      <c r="M11" s="23">
        <v>18</v>
      </c>
      <c r="N11" s="23">
        <v>18</v>
      </c>
      <c r="O11" s="23">
        <v>18</v>
      </c>
      <c r="P11" s="23">
        <v>18</v>
      </c>
      <c r="Q11" s="23">
        <v>18</v>
      </c>
      <c r="R11" s="23">
        <v>18</v>
      </c>
      <c r="S11" s="23">
        <v>18</v>
      </c>
      <c r="T11" s="23">
        <v>18</v>
      </c>
      <c r="U11" s="23">
        <v>18</v>
      </c>
      <c r="V11" s="23">
        <v>18</v>
      </c>
      <c r="W11" s="23">
        <v>18</v>
      </c>
      <c r="X11" s="23">
        <v>18</v>
      </c>
      <c r="Y11" s="23">
        <v>18</v>
      </c>
      <c r="Z11" s="23">
        <v>18</v>
      </c>
      <c r="AA11" s="23">
        <v>18</v>
      </c>
      <c r="AB11" s="23">
        <v>18</v>
      </c>
      <c r="AC11" s="23">
        <v>18</v>
      </c>
      <c r="AD11" s="23">
        <v>18</v>
      </c>
      <c r="AE11" s="23">
        <v>18</v>
      </c>
      <c r="AF11" s="23">
        <v>18</v>
      </c>
      <c r="AG11" s="23">
        <v>18</v>
      </c>
      <c r="AH11" s="23">
        <v>18</v>
      </c>
      <c r="AI11" s="23">
        <v>18</v>
      </c>
    </row>
    <row r="12" spans="1:35" x14ac:dyDescent="0.25">
      <c r="A12" s="31" t="str">
        <f t="shared" si="2"/>
        <v>BASE_PMR1b</v>
      </c>
      <c r="B12" s="18" t="s">
        <v>16</v>
      </c>
      <c r="C12" s="18" t="s">
        <v>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</row>
    <row r="13" spans="1:35" x14ac:dyDescent="0.25">
      <c r="A13" s="31" t="str">
        <f t="shared" si="2"/>
        <v>BASE_PMR1b</v>
      </c>
      <c r="B13" s="19" t="s">
        <v>13</v>
      </c>
      <c r="C13" s="19" t="s">
        <v>5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</row>
    <row r="15" spans="1:35" x14ac:dyDescent="0.25"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</row>
  </sheetData>
  <phoneticPr fontId="6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fixed_generators</vt:lpstr>
      <vt:lpstr>extendable_generators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Klein</dc:creator>
  <dc:description/>
  <cp:lastModifiedBy>Agatha Majcher</cp:lastModifiedBy>
  <cp:revision>1</cp:revision>
  <dcterms:created xsi:type="dcterms:W3CDTF">2024-12-02T10:02:30Z</dcterms:created>
  <dcterms:modified xsi:type="dcterms:W3CDTF">2026-08-16T13:58:06Z</dcterms:modified>
  <dc:language>en-GB</dc:language>
</cp:coreProperties>
</file>