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gatha.majcher\Downloads\agma0 pypsa-rsa master scenarios-Coal_Flexibilisation\sub_scenarios\"/>
    </mc:Choice>
  </mc:AlternateContent>
  <xr:revisionPtr revIDLastSave="0" documentId="13_ncr:1_{10947A22-490B-44C8-9BD0-588C8A250D6A}" xr6:coauthVersionLast="47" xr6:coauthVersionMax="47" xr10:uidLastSave="{00000000-0000-0000-0000-000000000000}"/>
  <bookViews>
    <workbookView xWindow="-15" yWindow="-16320" windowWidth="29040" windowHeight="15720" tabRatio="500" xr2:uid="{00000000-000D-0000-FFFF-FFFF00000000}"/>
  </bookViews>
  <sheets>
    <sheet name="operational_constraints" sheetId="1" r:id="rId1"/>
  </sheets>
  <definedNames>
    <definedName name="_xlnm._FilterDatabase" localSheetId="0" hidden="1">operational_constraints!$A$1:$I$12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2" i="1" l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F12" i="1"/>
  <c r="AE11" i="1"/>
  <c r="AF11" i="1" s="1"/>
  <c r="AG11" i="1" s="1"/>
  <c r="AH11" i="1" s="1"/>
  <c r="AI11" i="1" s="1"/>
  <c r="AJ11" i="1" s="1"/>
  <c r="AK11" i="1" s="1"/>
  <c r="AL11" i="1" s="1"/>
  <c r="AM11" i="1" s="1"/>
  <c r="AN11" i="1" s="1"/>
  <c r="K11" i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F11" i="1"/>
  <c r="K10" i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F10" i="1"/>
  <c r="K9" i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F9" i="1"/>
  <c r="U8" i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K8" i="1"/>
  <c r="L8" i="1" s="1"/>
  <c r="M8" i="1" s="1"/>
  <c r="N8" i="1" s="1"/>
  <c r="F8" i="1"/>
  <c r="U7" i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F7" i="1"/>
  <c r="U6" i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F6" i="1"/>
  <c r="U5" i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F5" i="1"/>
  <c r="AJ4" i="1"/>
  <c r="AK4" i="1" s="1"/>
  <c r="AL4" i="1" s="1"/>
  <c r="AM4" i="1" s="1"/>
  <c r="AN4" i="1" s="1"/>
  <c r="AF4" i="1"/>
  <c r="AG4" i="1" s="1"/>
  <c r="AH4" i="1" s="1"/>
  <c r="U4" i="1"/>
  <c r="V4" i="1" s="1"/>
  <c r="W4" i="1" s="1"/>
  <c r="X4" i="1" s="1"/>
  <c r="Y4" i="1" s="1"/>
  <c r="Z4" i="1" s="1"/>
  <c r="AA4" i="1" s="1"/>
  <c r="AB4" i="1" s="1"/>
  <c r="AC4" i="1" s="1"/>
  <c r="F4" i="1"/>
  <c r="AE3" i="1"/>
  <c r="AF3" i="1" s="1"/>
  <c r="AG3" i="1" s="1"/>
  <c r="AH3" i="1" s="1"/>
  <c r="AI3" i="1" s="1"/>
  <c r="AJ3" i="1" s="1"/>
  <c r="AK3" i="1" s="1"/>
  <c r="AL3" i="1" s="1"/>
  <c r="AM3" i="1" s="1"/>
  <c r="AN3" i="1" s="1"/>
  <c r="U3" i="1"/>
  <c r="V3" i="1" s="1"/>
  <c r="W3" i="1" s="1"/>
  <c r="X3" i="1" s="1"/>
  <c r="Y3" i="1" s="1"/>
  <c r="Z3" i="1" s="1"/>
  <c r="AA3" i="1" s="1"/>
  <c r="AB3" i="1" s="1"/>
  <c r="AC3" i="1" s="1"/>
  <c r="F3" i="1"/>
  <c r="U2" i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F2" i="1"/>
  <c r="L1" i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</calcChain>
</file>

<file path=xl/sharedStrings.xml><?xml version="1.0" encoding="utf-8"?>
<sst xmlns="http://schemas.openxmlformats.org/spreadsheetml/2006/main" count="97" uniqueCount="33">
  <si>
    <t>scenario</t>
  </si>
  <si>
    <t>bus</t>
  </si>
  <si>
    <t>tech_fuel</t>
  </si>
  <si>
    <t>capacity_factor</t>
  </si>
  <si>
    <t>period</t>
  </si>
  <si>
    <t>incl_pu</t>
  </si>
  <si>
    <t>limit</t>
  </si>
  <si>
    <t>apply_to</t>
  </si>
  <si>
    <t>units</t>
  </si>
  <si>
    <t>global</t>
  </si>
  <si>
    <t>hour</t>
  </si>
  <si>
    <t>max</t>
  </si>
  <si>
    <t>all</t>
  </si>
  <si>
    <t>year</t>
  </si>
  <si>
    <t>%</t>
  </si>
  <si>
    <t>min</t>
  </si>
  <si>
    <t>extendable</t>
  </si>
  <si>
    <t>ocgt_gas</t>
  </si>
  <si>
    <t>month</t>
  </si>
  <si>
    <t>ocgt_gas_h2_40</t>
  </si>
  <si>
    <t>ocgt_gas_h2_45</t>
  </si>
  <si>
    <t>ocgt_gas_h2_50</t>
  </si>
  <si>
    <t>ocgt_gas_h2_55</t>
  </si>
  <si>
    <t>ocgt_gas_h2_60</t>
  </si>
  <si>
    <t>ccgt_steam</t>
  </si>
  <si>
    <t>nuclear</t>
  </si>
  <si>
    <t>rmippp</t>
  </si>
  <si>
    <t>fixed</t>
  </si>
  <si>
    <t>sasol_coal</t>
  </si>
  <si>
    <t>output_energy</t>
  </si>
  <si>
    <t>TWh</t>
  </si>
  <si>
    <t>sasol_gas</t>
  </si>
  <si>
    <t>NO_MIN_GAS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</si>
</sst>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3F3F3F"/>
      <name val="Calibri"/>
      <family val="2"/>
      <charset val="1"/>
    </font>
    <font>
      <sz val="11"/>
      <color theme="0"/>
      <name val="Calibri"/>
      <family val="2"/>
      <charset val="1"/>
    </font>
    <font>
      <sz val="11"/>
      <name val="Calibri"/>
      <family val="2"/>
      <charset val="1"/>
    </font>
    <font>
      <sz val="11"/>
      <color rgb="FF3F3F76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CC99"/>
        <bgColor rgb="FFFFCC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2F2F2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8" tint="0.79998168889431442"/>
        <bgColor rgb="FFF2F2F2"/>
      </patternFill>
    </fill>
    <fill>
      <patternFill patternType="solid">
        <fgColor theme="8" tint="-0.249977111117893"/>
        <bgColor rgb="FF9933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2F2F2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theme="2" tint="-9.9978637043366805E-2"/>
        <bgColor rgb="FFF2F2F2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2" borderId="1" applyProtection="0"/>
    <xf numFmtId="0" fontId="4" fillId="3" borderId="2" applyProtection="0"/>
  </cellStyleXfs>
  <cellXfs count="38">
    <xf numFmtId="0" fontId="0" fillId="0" borderId="0" xfId="0"/>
    <xf numFmtId="0" fontId="0" fillId="0" borderId="0" xfId="0" applyAlignment="1">
      <alignment horizontal="left"/>
    </xf>
    <xf numFmtId="0" fontId="1" fillId="2" borderId="3" xfId="1" applyBorder="1" applyAlignment="1" applyProtection="1">
      <alignment horizontal="left" vertical="center" wrapText="1"/>
    </xf>
    <xf numFmtId="0" fontId="1" fillId="2" borderId="3" xfId="1" applyBorder="1" applyAlignment="1" applyProtection="1">
      <alignment horizontal="right" vertical="center" wrapText="1"/>
    </xf>
    <xf numFmtId="0" fontId="1" fillId="2" borderId="4" xfId="1" applyBorder="1" applyAlignment="1" applyProtection="1">
      <alignment horizontal="right" vertical="center" wrapText="1"/>
    </xf>
    <xf numFmtId="0" fontId="1" fillId="4" borderId="4" xfId="1" applyFill="1" applyBorder="1" applyAlignment="1" applyProtection="1">
      <alignment horizontal="right" vertical="center" wrapText="1"/>
    </xf>
    <xf numFmtId="0" fontId="3" fillId="2" borderId="0" xfId="2" applyFont="1" applyFill="1" applyBorder="1" applyAlignment="1" applyProtection="1">
      <alignment horizontal="left"/>
    </xf>
    <xf numFmtId="0" fontId="3" fillId="2" borderId="0" xfId="2" applyFont="1" applyFill="1" applyBorder="1" applyAlignment="1" applyProtection="1">
      <alignment horizontal="left" wrapText="1"/>
    </xf>
    <xf numFmtId="0" fontId="3" fillId="2" borderId="0" xfId="2" applyFont="1" applyFill="1" applyBorder="1" applyAlignment="1" applyProtection="1">
      <alignment horizontal="right"/>
    </xf>
    <xf numFmtId="1" fontId="3" fillId="4" borderId="0" xfId="0" applyNumberFormat="1" applyFont="1" applyFill="1"/>
    <xf numFmtId="0" fontId="3" fillId="5" borderId="0" xfId="2" applyFont="1" applyFill="1" applyBorder="1" applyAlignment="1" applyProtection="1">
      <alignment horizontal="left"/>
    </xf>
    <xf numFmtId="0" fontId="3" fillId="5" borderId="0" xfId="2" applyFont="1" applyFill="1" applyBorder="1" applyAlignment="1" applyProtection="1">
      <alignment horizontal="left" wrapText="1"/>
    </xf>
    <xf numFmtId="0" fontId="3" fillId="5" borderId="0" xfId="2" applyFont="1" applyFill="1" applyBorder="1" applyAlignment="1" applyProtection="1">
      <alignment horizontal="right"/>
    </xf>
    <xf numFmtId="9" fontId="3" fillId="5" borderId="0" xfId="0" applyNumberFormat="1" applyFont="1" applyFill="1"/>
    <xf numFmtId="9" fontId="3" fillId="4" borderId="0" xfId="0" applyNumberFormat="1" applyFont="1" applyFill="1"/>
    <xf numFmtId="9" fontId="3" fillId="2" borderId="0" xfId="0" applyNumberFormat="1" applyFont="1" applyFill="1"/>
    <xf numFmtId="2" fontId="3" fillId="5" borderId="0" xfId="0" applyNumberFormat="1" applyFont="1" applyFill="1"/>
    <xf numFmtId="2" fontId="3" fillId="4" borderId="0" xfId="0" applyNumberFormat="1" applyFont="1" applyFill="1"/>
    <xf numFmtId="9" fontId="3" fillId="6" borderId="0" xfId="0" applyNumberFormat="1" applyFont="1" applyFill="1"/>
    <xf numFmtId="9" fontId="3" fillId="7" borderId="0" xfId="0" applyNumberFormat="1" applyFont="1" applyFill="1"/>
    <xf numFmtId="9" fontId="3" fillId="8" borderId="0" xfId="0" applyNumberFormat="1" applyFont="1" applyFill="1"/>
    <xf numFmtId="9" fontId="3" fillId="9" borderId="0" xfId="0" applyNumberFormat="1" applyFont="1" applyFill="1"/>
    <xf numFmtId="0" fontId="2" fillId="10" borderId="5" xfId="0" applyFont="1" applyFill="1" applyBorder="1" applyAlignment="1">
      <alignment vertical="center"/>
    </xf>
    <xf numFmtId="9" fontId="0" fillId="11" borderId="0" xfId="0" applyNumberFormat="1" applyFill="1"/>
    <xf numFmtId="0" fontId="1" fillId="12" borderId="4" xfId="1" applyFill="1" applyBorder="1" applyAlignment="1" applyProtection="1">
      <alignment horizontal="right" vertical="center" wrapText="1"/>
    </xf>
    <xf numFmtId="9" fontId="3" fillId="12" borderId="0" xfId="0" applyNumberFormat="1" applyFont="1" applyFill="1"/>
    <xf numFmtId="9" fontId="3" fillId="13" borderId="0" xfId="0" applyNumberFormat="1" applyFont="1" applyFill="1"/>
    <xf numFmtId="2" fontId="3" fillId="13" borderId="0" xfId="0" applyNumberFormat="1" applyFont="1" applyFill="1"/>
    <xf numFmtId="1" fontId="3" fillId="8" borderId="0" xfId="0" applyNumberFormat="1" applyFont="1" applyFill="1"/>
    <xf numFmtId="0" fontId="3" fillId="2" borderId="3" xfId="2" applyFont="1" applyFill="1" applyBorder="1" applyAlignment="1" applyProtection="1">
      <alignment horizontal="left"/>
    </xf>
    <xf numFmtId="0" fontId="3" fillId="2" borderId="3" xfId="2" applyFont="1" applyFill="1" applyBorder="1" applyAlignment="1" applyProtection="1">
      <alignment horizontal="left" wrapText="1"/>
    </xf>
    <xf numFmtId="0" fontId="3" fillId="2" borderId="3" xfId="2" applyFont="1" applyFill="1" applyBorder="1" applyAlignment="1" applyProtection="1">
      <alignment horizontal="right"/>
    </xf>
    <xf numFmtId="2" fontId="3" fillId="2" borderId="3" xfId="0" applyNumberFormat="1" applyFont="1" applyFill="1" applyBorder="1"/>
    <xf numFmtId="2" fontId="3" fillId="4" borderId="3" xfId="0" applyNumberFormat="1" applyFont="1" applyFill="1" applyBorder="1"/>
    <xf numFmtId="2" fontId="3" fillId="12" borderId="3" xfId="0" applyNumberFormat="1" applyFont="1" applyFill="1" applyBorder="1"/>
    <xf numFmtId="1" fontId="3" fillId="14" borderId="0" xfId="0" applyNumberFormat="1" applyFont="1" applyFill="1"/>
    <xf numFmtId="9" fontId="3" fillId="15" borderId="0" xfId="0" applyNumberFormat="1" applyFont="1" applyFill="1"/>
    <xf numFmtId="9" fontId="3" fillId="14" borderId="0" xfId="0" applyNumberFormat="1" applyFont="1" applyFill="1"/>
  </cellXfs>
  <cellStyles count="3">
    <cellStyle name="Excel Built-in Input" xfId="2" xr:uid="{00000000-0005-0000-0000-000007000000}"/>
    <cellStyle name="Excel Built-in Output" xfId="1" xr:uid="{00000000-0005-0000-0000-000006000000}"/>
    <cellStyle name="Standard" xfId="0" builtinId="0"/>
  </cellStyles>
  <dxfs count="1">
    <dxf>
      <font>
        <sz val="11"/>
        <color rgb="FFCC0000"/>
        <name val="Calibri"/>
        <family val="2"/>
        <charset val="1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CCC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2F5597"/>
      <rgbColor rgb="FF969696"/>
      <rgbColor rgb="FF003366"/>
      <rgbColor rgb="FF339966"/>
      <rgbColor rgb="FF003300"/>
      <rgbColor rgb="FF333300"/>
      <rgbColor rgb="FF993300"/>
      <rgbColor rgb="FF993366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2"/>
  <sheetViews>
    <sheetView tabSelected="1" zoomScaleNormal="100" workbookViewId="0">
      <selection activeCell="AX1" sqref="AO1:AX1048576"/>
    </sheetView>
  </sheetViews>
  <sheetFormatPr baseColWidth="10" defaultColWidth="8.5703125" defaultRowHeight="15" x14ac:dyDescent="0.25"/>
  <cols>
    <col min="1" max="1" width="26.42578125" bestFit="1" customWidth="1"/>
    <col min="2" max="2" width="10" style="1" customWidth="1"/>
    <col min="3" max="3" width="37.42578125" style="1" customWidth="1"/>
    <col min="4" max="4" width="14.42578125" style="1" customWidth="1"/>
    <col min="5" max="5" width="8" style="1" customWidth="1"/>
    <col min="6" max="6" width="9.42578125" style="1" customWidth="1"/>
    <col min="7" max="7" width="8.140625" style="1" customWidth="1"/>
    <col min="8" max="8" width="11.140625" style="1" customWidth="1"/>
    <col min="10" max="14" width="9.42578125" hidden="1" customWidth="1"/>
    <col min="15" max="24" width="9.42578125" customWidth="1"/>
    <col min="25" max="40" width="11.42578125" customWidth="1"/>
  </cols>
  <sheetData>
    <row r="1" spans="1:40" ht="23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>
        <v>2020</v>
      </c>
      <c r="K1" s="4">
        <v>2021</v>
      </c>
      <c r="L1" s="4">
        <f t="shared" ref="L1:AN1" si="0">K1+1</f>
        <v>2022</v>
      </c>
      <c r="M1" s="4">
        <f t="shared" si="0"/>
        <v>2023</v>
      </c>
      <c r="N1" s="4">
        <f t="shared" si="0"/>
        <v>2024</v>
      </c>
      <c r="O1" s="5">
        <f t="shared" si="0"/>
        <v>2025</v>
      </c>
      <c r="P1" s="4">
        <f t="shared" si="0"/>
        <v>2026</v>
      </c>
      <c r="Q1" s="4">
        <f t="shared" si="0"/>
        <v>2027</v>
      </c>
      <c r="R1" s="4">
        <f t="shared" si="0"/>
        <v>2028</v>
      </c>
      <c r="S1" s="4">
        <f t="shared" si="0"/>
        <v>2029</v>
      </c>
      <c r="T1" s="5">
        <f t="shared" si="0"/>
        <v>2030</v>
      </c>
      <c r="U1" s="4">
        <f t="shared" si="0"/>
        <v>2031</v>
      </c>
      <c r="V1" s="4">
        <f t="shared" si="0"/>
        <v>2032</v>
      </c>
      <c r="W1" s="4">
        <f t="shared" si="0"/>
        <v>2033</v>
      </c>
      <c r="X1" s="4">
        <f t="shared" si="0"/>
        <v>2034</v>
      </c>
      <c r="Y1" s="5">
        <f t="shared" si="0"/>
        <v>2035</v>
      </c>
      <c r="Z1" s="4">
        <f t="shared" si="0"/>
        <v>2036</v>
      </c>
      <c r="AA1" s="4">
        <f t="shared" si="0"/>
        <v>2037</v>
      </c>
      <c r="AB1" s="4">
        <f t="shared" si="0"/>
        <v>2038</v>
      </c>
      <c r="AC1" s="4">
        <f t="shared" si="0"/>
        <v>2039</v>
      </c>
      <c r="AD1" s="5">
        <f t="shared" si="0"/>
        <v>2040</v>
      </c>
      <c r="AE1" s="4">
        <f t="shared" si="0"/>
        <v>2041</v>
      </c>
      <c r="AF1" s="4">
        <f t="shared" si="0"/>
        <v>2042</v>
      </c>
      <c r="AG1" s="4">
        <f t="shared" si="0"/>
        <v>2043</v>
      </c>
      <c r="AH1" s="4">
        <f t="shared" si="0"/>
        <v>2044</v>
      </c>
      <c r="AI1" s="5">
        <f t="shared" si="0"/>
        <v>2045</v>
      </c>
      <c r="AJ1" s="4">
        <f t="shared" si="0"/>
        <v>2046</v>
      </c>
      <c r="AK1" s="4">
        <f t="shared" si="0"/>
        <v>2047</v>
      </c>
      <c r="AL1" s="4">
        <f t="shared" si="0"/>
        <v>2048</v>
      </c>
      <c r="AM1" s="4">
        <f t="shared" si="0"/>
        <v>2049</v>
      </c>
      <c r="AN1" s="24">
        <f t="shared" si="0"/>
        <v>2050</v>
      </c>
    </row>
    <row r="2" spans="1:40" x14ac:dyDescent="0.25">
      <c r="A2" s="22" t="s">
        <v>32</v>
      </c>
      <c r="B2" s="10" t="s">
        <v>9</v>
      </c>
      <c r="C2" s="11" t="s">
        <v>17</v>
      </c>
      <c r="D2" s="10" t="s">
        <v>3</v>
      </c>
      <c r="E2" s="10" t="s">
        <v>18</v>
      </c>
      <c r="F2" s="10" t="b">
        <f>FALSE()</f>
        <v>0</v>
      </c>
      <c r="G2" s="10" t="s">
        <v>15</v>
      </c>
      <c r="H2" s="10" t="s">
        <v>16</v>
      </c>
      <c r="I2" s="12" t="s">
        <v>14</v>
      </c>
      <c r="J2" s="13"/>
      <c r="K2" s="13"/>
      <c r="L2" s="13"/>
      <c r="M2" s="13"/>
      <c r="N2" s="13"/>
      <c r="O2" s="14"/>
      <c r="P2" s="36"/>
      <c r="Q2" s="36"/>
      <c r="R2" s="36"/>
      <c r="S2" s="36"/>
      <c r="T2" s="14">
        <v>0.4</v>
      </c>
      <c r="U2" s="21">
        <f>T2</f>
        <v>0.4</v>
      </c>
      <c r="V2" s="21">
        <f t="shared" ref="V2:V3" si="1">U2</f>
        <v>0.4</v>
      </c>
      <c r="W2" s="21">
        <f t="shared" ref="W2:W3" si="2">V2</f>
        <v>0.4</v>
      </c>
      <c r="X2" s="21">
        <f t="shared" ref="X2:X3" si="3">W2</f>
        <v>0.4</v>
      </c>
      <c r="Y2" s="14">
        <f>X2</f>
        <v>0.4</v>
      </c>
      <c r="Z2" s="21">
        <f t="shared" ref="Z2:Z3" si="4">Y2</f>
        <v>0.4</v>
      </c>
      <c r="AA2" s="21">
        <f t="shared" ref="AA2:AA3" si="5">Z2</f>
        <v>0.4</v>
      </c>
      <c r="AB2" s="21">
        <f t="shared" ref="AB2:AB3" si="6">AA2</f>
        <v>0.4</v>
      </c>
      <c r="AC2" s="21">
        <f t="shared" ref="AC2:AC3" si="7">AB2</f>
        <v>0.4</v>
      </c>
      <c r="AD2" s="14">
        <f t="shared" ref="AD2" si="8">AC2</f>
        <v>0.4</v>
      </c>
      <c r="AE2" s="21">
        <f t="shared" ref="AE2:AE3" si="9">AD2</f>
        <v>0.4</v>
      </c>
      <c r="AF2" s="21">
        <f t="shared" ref="AF2:AF3" si="10">AE2</f>
        <v>0.4</v>
      </c>
      <c r="AG2" s="21">
        <f t="shared" ref="AG2:AG3" si="11">AF2</f>
        <v>0.4</v>
      </c>
      <c r="AH2" s="21">
        <f t="shared" ref="AH2:AH3" si="12">AG2</f>
        <v>0.4</v>
      </c>
      <c r="AI2" s="14">
        <f t="shared" ref="AI2:AI3" si="13">AH2</f>
        <v>0.4</v>
      </c>
      <c r="AJ2" s="21">
        <f t="shared" ref="AJ2:AJ3" si="14">AI2</f>
        <v>0.4</v>
      </c>
      <c r="AK2" s="21">
        <f t="shared" ref="AK2:AK3" si="15">AJ2</f>
        <v>0.4</v>
      </c>
      <c r="AL2" s="21">
        <f t="shared" ref="AL2:AL3" si="16">AK2</f>
        <v>0.4</v>
      </c>
      <c r="AM2" s="21">
        <f t="shared" ref="AM2:AM3" si="17">AL2</f>
        <v>0.4</v>
      </c>
      <c r="AN2" s="26">
        <f t="shared" ref="AN2:AN3" si="18">AM2</f>
        <v>0.4</v>
      </c>
    </row>
    <row r="3" spans="1:40" x14ac:dyDescent="0.25">
      <c r="A3" s="22" t="s">
        <v>32</v>
      </c>
      <c r="B3" s="6" t="s">
        <v>9</v>
      </c>
      <c r="C3" s="7" t="s">
        <v>19</v>
      </c>
      <c r="D3" s="6" t="s">
        <v>3</v>
      </c>
      <c r="E3" s="6" t="s">
        <v>18</v>
      </c>
      <c r="F3" s="6" t="b">
        <f>FALSE()</f>
        <v>0</v>
      </c>
      <c r="G3" s="6" t="s">
        <v>15</v>
      </c>
      <c r="H3" s="6" t="s">
        <v>16</v>
      </c>
      <c r="I3" s="8" t="s">
        <v>14</v>
      </c>
      <c r="J3" s="28"/>
      <c r="K3" s="28"/>
      <c r="L3" s="28"/>
      <c r="M3" s="28"/>
      <c r="N3" s="28"/>
      <c r="O3" s="9"/>
      <c r="P3" s="35"/>
      <c r="Q3" s="35"/>
      <c r="R3" s="35"/>
      <c r="S3" s="35"/>
      <c r="T3" s="14">
        <v>0.4</v>
      </c>
      <c r="U3" s="20">
        <f>T3</f>
        <v>0.4</v>
      </c>
      <c r="V3" s="20">
        <f t="shared" si="1"/>
        <v>0.4</v>
      </c>
      <c r="W3" s="20">
        <f t="shared" si="2"/>
        <v>0.4</v>
      </c>
      <c r="X3" s="20">
        <f t="shared" si="3"/>
        <v>0.4</v>
      </c>
      <c r="Y3" s="14">
        <f>X3</f>
        <v>0.4</v>
      </c>
      <c r="Z3" s="20">
        <f t="shared" si="4"/>
        <v>0.4</v>
      </c>
      <c r="AA3" s="20">
        <f t="shared" si="5"/>
        <v>0.4</v>
      </c>
      <c r="AB3" s="20">
        <f t="shared" si="6"/>
        <v>0.4</v>
      </c>
      <c r="AC3" s="20">
        <f t="shared" si="7"/>
        <v>0.4</v>
      </c>
      <c r="AD3" s="25">
        <v>0</v>
      </c>
      <c r="AE3" s="18">
        <f t="shared" si="9"/>
        <v>0</v>
      </c>
      <c r="AF3" s="18">
        <f t="shared" si="10"/>
        <v>0</v>
      </c>
      <c r="AG3" s="18">
        <f t="shared" si="11"/>
        <v>0</v>
      </c>
      <c r="AH3" s="18">
        <f t="shared" si="12"/>
        <v>0</v>
      </c>
      <c r="AI3" s="25">
        <f t="shared" si="13"/>
        <v>0</v>
      </c>
      <c r="AJ3" s="18">
        <f t="shared" si="14"/>
        <v>0</v>
      </c>
      <c r="AK3" s="18">
        <f t="shared" si="15"/>
        <v>0</v>
      </c>
      <c r="AL3" s="18">
        <f t="shared" si="16"/>
        <v>0</v>
      </c>
      <c r="AM3" s="18">
        <f t="shared" si="17"/>
        <v>0</v>
      </c>
      <c r="AN3" s="25">
        <f t="shared" si="18"/>
        <v>0</v>
      </c>
    </row>
    <row r="4" spans="1:40" x14ac:dyDescent="0.25">
      <c r="A4" s="22" t="s">
        <v>32</v>
      </c>
      <c r="B4" s="10" t="s">
        <v>9</v>
      </c>
      <c r="C4" s="11" t="s">
        <v>20</v>
      </c>
      <c r="D4" s="10" t="s">
        <v>3</v>
      </c>
      <c r="E4" s="10" t="s">
        <v>18</v>
      </c>
      <c r="F4" s="10" t="b">
        <f>FALSE()</f>
        <v>0</v>
      </c>
      <c r="G4" s="10" t="s">
        <v>15</v>
      </c>
      <c r="H4" s="10" t="s">
        <v>16</v>
      </c>
      <c r="I4" s="12" t="s">
        <v>14</v>
      </c>
      <c r="J4" s="20"/>
      <c r="K4" s="20"/>
      <c r="L4" s="20"/>
      <c r="M4" s="20"/>
      <c r="N4" s="20"/>
      <c r="O4" s="14"/>
      <c r="P4" s="37"/>
      <c r="Q4" s="37"/>
      <c r="R4" s="37"/>
      <c r="S4" s="37"/>
      <c r="T4" s="14">
        <v>0.4</v>
      </c>
      <c r="U4" s="21">
        <f t="shared" ref="U4" si="19">T4</f>
        <v>0.4</v>
      </c>
      <c r="V4" s="21">
        <f t="shared" ref="V4" si="20">U4</f>
        <v>0.4</v>
      </c>
      <c r="W4" s="21">
        <f t="shared" ref="W4" si="21">V4</f>
        <v>0.4</v>
      </c>
      <c r="X4" s="21">
        <f t="shared" ref="X4" si="22">W4</f>
        <v>0.4</v>
      </c>
      <c r="Y4" s="14">
        <f t="shared" ref="Y4" si="23">X4</f>
        <v>0.4</v>
      </c>
      <c r="Z4" s="21">
        <f t="shared" ref="Z4" si="24">Y4</f>
        <v>0.4</v>
      </c>
      <c r="AA4" s="21">
        <f t="shared" ref="AA4" si="25">Z4</f>
        <v>0.4</v>
      </c>
      <c r="AB4" s="21">
        <f t="shared" ref="AB4" si="26">AA4</f>
        <v>0.4</v>
      </c>
      <c r="AC4" s="21">
        <f t="shared" ref="AC4" si="27">AB4</f>
        <v>0.4</v>
      </c>
      <c r="AD4" s="14">
        <v>0.4</v>
      </c>
      <c r="AE4" s="21">
        <v>0.4</v>
      </c>
      <c r="AF4" s="21">
        <f>AE4</f>
        <v>0.4</v>
      </c>
      <c r="AG4" s="21">
        <f>AF4</f>
        <v>0.4</v>
      </c>
      <c r="AH4" s="21">
        <f>AG4</f>
        <v>0.4</v>
      </c>
      <c r="AI4" s="26">
        <v>0</v>
      </c>
      <c r="AJ4" s="19">
        <f>AI4</f>
        <v>0</v>
      </c>
      <c r="AK4" s="19">
        <f>AJ4</f>
        <v>0</v>
      </c>
      <c r="AL4" s="19">
        <f>AK4</f>
        <v>0</v>
      </c>
      <c r="AM4" s="19">
        <f>AL4</f>
        <v>0</v>
      </c>
      <c r="AN4" s="26">
        <f>AM4</f>
        <v>0</v>
      </c>
    </row>
    <row r="5" spans="1:40" x14ac:dyDescent="0.25">
      <c r="A5" s="22" t="s">
        <v>32</v>
      </c>
      <c r="B5" s="6" t="s">
        <v>9</v>
      </c>
      <c r="C5" s="7" t="s">
        <v>21</v>
      </c>
      <c r="D5" s="6" t="s">
        <v>3</v>
      </c>
      <c r="E5" s="6" t="s">
        <v>18</v>
      </c>
      <c r="F5" s="6" t="b">
        <f>FALSE()</f>
        <v>0</v>
      </c>
      <c r="G5" s="6" t="s">
        <v>15</v>
      </c>
      <c r="H5" s="6" t="s">
        <v>16</v>
      </c>
      <c r="I5" s="8" t="s">
        <v>14</v>
      </c>
      <c r="J5" s="21"/>
      <c r="K5" s="21"/>
      <c r="L5" s="21"/>
      <c r="M5" s="21"/>
      <c r="N5" s="21"/>
      <c r="O5" s="14"/>
      <c r="P5" s="36"/>
      <c r="Q5" s="36"/>
      <c r="R5" s="36"/>
      <c r="S5" s="36"/>
      <c r="T5" s="14">
        <v>0.4</v>
      </c>
      <c r="U5" s="20">
        <f t="shared" ref="U5" si="28">T5</f>
        <v>0.4</v>
      </c>
      <c r="V5" s="20">
        <f t="shared" ref="V5" si="29">U5</f>
        <v>0.4</v>
      </c>
      <c r="W5" s="20">
        <f t="shared" ref="W5" si="30">V5</f>
        <v>0.4</v>
      </c>
      <c r="X5" s="20">
        <f t="shared" ref="X5" si="31">W5</f>
        <v>0.4</v>
      </c>
      <c r="Y5" s="14">
        <f t="shared" ref="Y5" si="32">X5</f>
        <v>0.4</v>
      </c>
      <c r="Z5" s="20">
        <f t="shared" ref="Z5" si="33">Y5</f>
        <v>0.4</v>
      </c>
      <c r="AA5" s="20">
        <f t="shared" ref="AA5" si="34">Z5</f>
        <v>0.4</v>
      </c>
      <c r="AB5" s="20">
        <f t="shared" ref="AB5" si="35">AA5</f>
        <v>0.4</v>
      </c>
      <c r="AC5" s="20">
        <f t="shared" ref="AC5" si="36">AB5</f>
        <v>0.4</v>
      </c>
      <c r="AD5" s="14">
        <f t="shared" ref="AD5" si="37">AC5</f>
        <v>0.4</v>
      </c>
      <c r="AE5" s="20">
        <f t="shared" ref="AE5" si="38">AD5</f>
        <v>0.4</v>
      </c>
      <c r="AF5" s="20">
        <f t="shared" ref="AF5" si="39">AE5</f>
        <v>0.4</v>
      </c>
      <c r="AG5" s="20">
        <f t="shared" ref="AG5" si="40">AF5</f>
        <v>0.4</v>
      </c>
      <c r="AH5" s="20">
        <f t="shared" ref="AH5" si="41">AG5</f>
        <v>0.4</v>
      </c>
      <c r="AI5" s="14">
        <f t="shared" ref="AI5" si="42">AH5</f>
        <v>0.4</v>
      </c>
      <c r="AJ5" s="20">
        <f t="shared" ref="AJ5" si="43">AI5</f>
        <v>0.4</v>
      </c>
      <c r="AK5" s="20">
        <f t="shared" ref="AK5" si="44">AJ5</f>
        <v>0.4</v>
      </c>
      <c r="AL5" s="20">
        <f t="shared" ref="AL5" si="45">AK5</f>
        <v>0.4</v>
      </c>
      <c r="AM5" s="20">
        <f t="shared" ref="AM5" si="46">AL5</f>
        <v>0.4</v>
      </c>
      <c r="AN5" s="23">
        <v>0</v>
      </c>
    </row>
    <row r="6" spans="1:40" x14ac:dyDescent="0.25">
      <c r="A6" s="22" t="s">
        <v>32</v>
      </c>
      <c r="B6" s="6" t="s">
        <v>9</v>
      </c>
      <c r="C6" s="7" t="s">
        <v>22</v>
      </c>
      <c r="D6" s="6" t="s">
        <v>3</v>
      </c>
      <c r="E6" s="6" t="s">
        <v>18</v>
      </c>
      <c r="F6" s="6" t="b">
        <f>FALSE()</f>
        <v>0</v>
      </c>
      <c r="G6" s="6" t="s">
        <v>15</v>
      </c>
      <c r="H6" s="6" t="s">
        <v>16</v>
      </c>
      <c r="I6" s="8" t="s">
        <v>14</v>
      </c>
      <c r="J6" s="20"/>
      <c r="K6" s="20"/>
      <c r="L6" s="20"/>
      <c r="M6" s="20"/>
      <c r="N6" s="20"/>
      <c r="O6" s="14"/>
      <c r="P6" s="37"/>
      <c r="Q6" s="37"/>
      <c r="R6" s="37"/>
      <c r="S6" s="37"/>
      <c r="T6" s="14">
        <v>0.4</v>
      </c>
      <c r="U6" s="20">
        <f t="shared" ref="U6" si="47">T6</f>
        <v>0.4</v>
      </c>
      <c r="V6" s="20">
        <f t="shared" ref="V6" si="48">U6</f>
        <v>0.4</v>
      </c>
      <c r="W6" s="20">
        <f t="shared" ref="W6" si="49">V6</f>
        <v>0.4</v>
      </c>
      <c r="X6" s="20">
        <f t="shared" ref="X6" si="50">W6</f>
        <v>0.4</v>
      </c>
      <c r="Y6" s="14">
        <f t="shared" ref="Y6" si="51">X6</f>
        <v>0.4</v>
      </c>
      <c r="Z6" s="20">
        <f t="shared" ref="Z6" si="52">Y6</f>
        <v>0.4</v>
      </c>
      <c r="AA6" s="20">
        <f t="shared" ref="AA6" si="53">Z6</f>
        <v>0.4</v>
      </c>
      <c r="AB6" s="20">
        <f t="shared" ref="AB6" si="54">AA6</f>
        <v>0.4</v>
      </c>
      <c r="AC6" s="20">
        <f t="shared" ref="AC6" si="55">AB6</f>
        <v>0.4</v>
      </c>
      <c r="AD6" s="14">
        <f t="shared" ref="AD6" si="56">AC6</f>
        <v>0.4</v>
      </c>
      <c r="AE6" s="20">
        <f t="shared" ref="AE6" si="57">AD6</f>
        <v>0.4</v>
      </c>
      <c r="AF6" s="20">
        <f t="shared" ref="AF6" si="58">AE6</f>
        <v>0.4</v>
      </c>
      <c r="AG6" s="20">
        <f t="shared" ref="AG6" si="59">AF6</f>
        <v>0.4</v>
      </c>
      <c r="AH6" s="20">
        <f t="shared" ref="AH6" si="60">AG6</f>
        <v>0.4</v>
      </c>
      <c r="AI6" s="14">
        <f t="shared" ref="AI6" si="61">AH6</f>
        <v>0.4</v>
      </c>
      <c r="AJ6" s="20">
        <f t="shared" ref="AJ6" si="62">AI6</f>
        <v>0.4</v>
      </c>
      <c r="AK6" s="20">
        <f t="shared" ref="AK6" si="63">AJ6</f>
        <v>0.4</v>
      </c>
      <c r="AL6" s="20">
        <f t="shared" ref="AL6" si="64">AK6</f>
        <v>0.4</v>
      </c>
      <c r="AM6" s="20">
        <f t="shared" ref="AM6" si="65">AL6</f>
        <v>0.4</v>
      </c>
      <c r="AN6" s="25">
        <f t="shared" ref="AN6" si="66">AM6</f>
        <v>0.4</v>
      </c>
    </row>
    <row r="7" spans="1:40" x14ac:dyDescent="0.25">
      <c r="A7" s="22" t="s">
        <v>32</v>
      </c>
      <c r="B7" s="6" t="s">
        <v>9</v>
      </c>
      <c r="C7" s="7" t="s">
        <v>23</v>
      </c>
      <c r="D7" s="6" t="s">
        <v>3</v>
      </c>
      <c r="E7" s="6" t="s">
        <v>18</v>
      </c>
      <c r="F7" s="6" t="b">
        <f>FALSE()</f>
        <v>0</v>
      </c>
      <c r="G7" s="6" t="s">
        <v>15</v>
      </c>
      <c r="H7" s="6" t="s">
        <v>16</v>
      </c>
      <c r="I7" s="8" t="s">
        <v>14</v>
      </c>
      <c r="J7" s="20"/>
      <c r="K7" s="20"/>
      <c r="L7" s="20"/>
      <c r="M7" s="20"/>
      <c r="N7" s="20"/>
      <c r="O7" s="14"/>
      <c r="P7" s="37"/>
      <c r="Q7" s="37"/>
      <c r="R7" s="37"/>
      <c r="S7" s="37"/>
      <c r="T7" s="14">
        <v>0.4</v>
      </c>
      <c r="U7" s="20">
        <f t="shared" ref="U7" si="67">T7</f>
        <v>0.4</v>
      </c>
      <c r="V7" s="20">
        <f t="shared" ref="V7" si="68">U7</f>
        <v>0.4</v>
      </c>
      <c r="W7" s="20">
        <f t="shared" ref="W7" si="69">V7</f>
        <v>0.4</v>
      </c>
      <c r="X7" s="20">
        <f t="shared" ref="X7" si="70">W7</f>
        <v>0.4</v>
      </c>
      <c r="Y7" s="14">
        <f t="shared" ref="Y7" si="71">X7</f>
        <v>0.4</v>
      </c>
      <c r="Z7" s="20">
        <f t="shared" ref="Z7" si="72">Y7</f>
        <v>0.4</v>
      </c>
      <c r="AA7" s="20">
        <f t="shared" ref="AA7" si="73">Z7</f>
        <v>0.4</v>
      </c>
      <c r="AB7" s="20">
        <f t="shared" ref="AB7" si="74">AA7</f>
        <v>0.4</v>
      </c>
      <c r="AC7" s="20">
        <f t="shared" ref="AC7" si="75">AB7</f>
        <v>0.4</v>
      </c>
      <c r="AD7" s="14">
        <f t="shared" ref="AD7" si="76">AC7</f>
        <v>0.4</v>
      </c>
      <c r="AE7" s="20">
        <f t="shared" ref="AE7" si="77">AD7</f>
        <v>0.4</v>
      </c>
      <c r="AF7" s="20">
        <f t="shared" ref="AF7" si="78">AE7</f>
        <v>0.4</v>
      </c>
      <c r="AG7" s="20">
        <f t="shared" ref="AG7" si="79">AF7</f>
        <v>0.4</v>
      </c>
      <c r="AH7" s="20">
        <f t="shared" ref="AH7" si="80">AG7</f>
        <v>0.4</v>
      </c>
      <c r="AI7" s="14">
        <f t="shared" ref="AI7" si="81">AH7</f>
        <v>0.4</v>
      </c>
      <c r="AJ7" s="20">
        <f t="shared" ref="AJ7" si="82">AI7</f>
        <v>0.4</v>
      </c>
      <c r="AK7" s="20">
        <f t="shared" ref="AK7" si="83">AJ7</f>
        <v>0.4</v>
      </c>
      <c r="AL7" s="20">
        <f t="shared" ref="AL7" si="84">AK7</f>
        <v>0.4</v>
      </c>
      <c r="AM7" s="20">
        <f t="shared" ref="AM7" si="85">AL7</f>
        <v>0.4</v>
      </c>
      <c r="AN7" s="25">
        <f t="shared" ref="AN7" si="86">AM7</f>
        <v>0.4</v>
      </c>
    </row>
    <row r="8" spans="1:40" x14ac:dyDescent="0.25">
      <c r="A8" s="22" t="s">
        <v>32</v>
      </c>
      <c r="B8" s="10" t="s">
        <v>9</v>
      </c>
      <c r="C8" s="11" t="s">
        <v>24</v>
      </c>
      <c r="D8" s="10" t="s">
        <v>3</v>
      </c>
      <c r="E8" s="10" t="s">
        <v>18</v>
      </c>
      <c r="F8" s="10" t="b">
        <f>FALSE()</f>
        <v>0</v>
      </c>
      <c r="G8" s="10" t="s">
        <v>15</v>
      </c>
      <c r="H8" s="10" t="s">
        <v>12</v>
      </c>
      <c r="I8" s="12" t="s">
        <v>14</v>
      </c>
      <c r="J8" s="13">
        <v>0.3</v>
      </c>
      <c r="K8" s="13">
        <f t="shared" ref="K8:K12" si="87">J8</f>
        <v>0.3</v>
      </c>
      <c r="L8" s="13">
        <f t="shared" ref="L8:L12" si="88">K8</f>
        <v>0.3</v>
      </c>
      <c r="M8" s="13">
        <f t="shared" ref="M8:M12" si="89">L8</f>
        <v>0.3</v>
      </c>
      <c r="N8" s="13">
        <f t="shared" ref="N8:N12" si="90">M8</f>
        <v>0.3</v>
      </c>
      <c r="O8" s="14"/>
      <c r="P8" s="37"/>
      <c r="Q8" s="37"/>
      <c r="R8" s="37"/>
      <c r="S8" s="37"/>
      <c r="T8" s="14">
        <v>0.3</v>
      </c>
      <c r="U8" s="13">
        <f t="shared" ref="U8:U12" si="91">T8</f>
        <v>0.3</v>
      </c>
      <c r="V8" s="13">
        <f t="shared" ref="V8:V12" si="92">U8</f>
        <v>0.3</v>
      </c>
      <c r="W8" s="13">
        <f t="shared" ref="W8:W12" si="93">V8</f>
        <v>0.3</v>
      </c>
      <c r="X8" s="13">
        <f t="shared" ref="X8:X12" si="94">W8</f>
        <v>0.3</v>
      </c>
      <c r="Y8" s="14">
        <f t="shared" ref="Y8:Y12" si="95">X8</f>
        <v>0.3</v>
      </c>
      <c r="Z8" s="13">
        <f t="shared" ref="Z8:Z12" si="96">Y8</f>
        <v>0.3</v>
      </c>
      <c r="AA8" s="13">
        <f t="shared" ref="AA8:AA12" si="97">Z8</f>
        <v>0.3</v>
      </c>
      <c r="AB8" s="13">
        <f t="shared" ref="AB8:AB12" si="98">AA8</f>
        <v>0.3</v>
      </c>
      <c r="AC8" s="13">
        <f t="shared" ref="AC8:AC12" si="99">AB8</f>
        <v>0.3</v>
      </c>
      <c r="AD8" s="14">
        <f t="shared" ref="AD8:AD10" si="100">AC8</f>
        <v>0.3</v>
      </c>
      <c r="AE8" s="13">
        <f t="shared" ref="AE8:AE12" si="101">AD8</f>
        <v>0.3</v>
      </c>
      <c r="AF8" s="13">
        <f t="shared" ref="AF8:AF12" si="102">AE8</f>
        <v>0.3</v>
      </c>
      <c r="AG8" s="13">
        <f t="shared" ref="AG8:AG12" si="103">AF8</f>
        <v>0.3</v>
      </c>
      <c r="AH8" s="13">
        <f t="shared" ref="AH8:AH12" si="104">AG8</f>
        <v>0.3</v>
      </c>
      <c r="AI8" s="14">
        <f t="shared" ref="AI8:AI12" si="105">AH8</f>
        <v>0.3</v>
      </c>
      <c r="AJ8" s="13">
        <f t="shared" ref="AJ8:AJ12" si="106">AI8</f>
        <v>0.3</v>
      </c>
      <c r="AK8" s="13">
        <f t="shared" ref="AK8:AK12" si="107">AJ8</f>
        <v>0.3</v>
      </c>
      <c r="AL8" s="13">
        <f t="shared" ref="AL8:AL12" si="108">AK8</f>
        <v>0.3</v>
      </c>
      <c r="AM8" s="13">
        <f t="shared" ref="AM8:AM12" si="109">AL8</f>
        <v>0.3</v>
      </c>
      <c r="AN8" s="26">
        <v>0.3</v>
      </c>
    </row>
    <row r="9" spans="1:40" x14ac:dyDescent="0.25">
      <c r="A9" s="22" t="s">
        <v>32</v>
      </c>
      <c r="B9" s="6" t="s">
        <v>9</v>
      </c>
      <c r="C9" s="7" t="s">
        <v>25</v>
      </c>
      <c r="D9" s="6" t="s">
        <v>3</v>
      </c>
      <c r="E9" s="6" t="s">
        <v>10</v>
      </c>
      <c r="F9" s="6" t="b">
        <f>TRUE()</f>
        <v>1</v>
      </c>
      <c r="G9" s="6" t="s">
        <v>15</v>
      </c>
      <c r="H9" s="6" t="s">
        <v>12</v>
      </c>
      <c r="I9" s="8" t="s">
        <v>14</v>
      </c>
      <c r="J9" s="15">
        <v>1</v>
      </c>
      <c r="K9" s="15">
        <f t="shared" si="87"/>
        <v>1</v>
      </c>
      <c r="L9" s="15">
        <f t="shared" si="88"/>
        <v>1</v>
      </c>
      <c r="M9" s="15">
        <f t="shared" si="89"/>
        <v>1</v>
      </c>
      <c r="N9" s="15">
        <f t="shared" si="90"/>
        <v>1</v>
      </c>
      <c r="O9" s="14">
        <f t="shared" ref="O9:O12" si="110">N9</f>
        <v>1</v>
      </c>
      <c r="P9" s="15">
        <f t="shared" ref="P9:P12" si="111">O9</f>
        <v>1</v>
      </c>
      <c r="Q9" s="15">
        <f t="shared" ref="Q9:Q12" si="112">P9</f>
        <v>1</v>
      </c>
      <c r="R9" s="15">
        <f t="shared" ref="R9:R12" si="113">Q9</f>
        <v>1</v>
      </c>
      <c r="S9" s="15">
        <f t="shared" ref="S9:S12" si="114">R9</f>
        <v>1</v>
      </c>
      <c r="T9" s="14">
        <f t="shared" ref="T9:T12" si="115">S9</f>
        <v>1</v>
      </c>
      <c r="U9" s="15">
        <f t="shared" si="91"/>
        <v>1</v>
      </c>
      <c r="V9" s="15">
        <f t="shared" si="92"/>
        <v>1</v>
      </c>
      <c r="W9" s="15">
        <f t="shared" si="93"/>
        <v>1</v>
      </c>
      <c r="X9" s="15">
        <f t="shared" si="94"/>
        <v>1</v>
      </c>
      <c r="Y9" s="14">
        <f t="shared" si="95"/>
        <v>1</v>
      </c>
      <c r="Z9" s="15">
        <f t="shared" si="96"/>
        <v>1</v>
      </c>
      <c r="AA9" s="15">
        <f t="shared" si="97"/>
        <v>1</v>
      </c>
      <c r="AB9" s="15">
        <f t="shared" si="98"/>
        <v>1</v>
      </c>
      <c r="AC9" s="15">
        <f t="shared" si="99"/>
        <v>1</v>
      </c>
      <c r="AD9" s="14">
        <f t="shared" si="100"/>
        <v>1</v>
      </c>
      <c r="AE9" s="15">
        <f t="shared" si="101"/>
        <v>1</v>
      </c>
      <c r="AF9" s="15">
        <f t="shared" si="102"/>
        <v>1</v>
      </c>
      <c r="AG9" s="15">
        <f t="shared" si="103"/>
        <v>1</v>
      </c>
      <c r="AH9" s="15">
        <f t="shared" si="104"/>
        <v>1</v>
      </c>
      <c r="AI9" s="14">
        <f t="shared" si="105"/>
        <v>1</v>
      </c>
      <c r="AJ9" s="15">
        <f t="shared" si="106"/>
        <v>1</v>
      </c>
      <c r="AK9" s="15">
        <f t="shared" si="107"/>
        <v>1</v>
      </c>
      <c r="AL9" s="15">
        <f t="shared" si="108"/>
        <v>1</v>
      </c>
      <c r="AM9" s="15">
        <f t="shared" si="109"/>
        <v>1</v>
      </c>
      <c r="AN9" s="25">
        <f>AM9</f>
        <v>1</v>
      </c>
    </row>
    <row r="10" spans="1:40" x14ac:dyDescent="0.25">
      <c r="A10" s="22" t="s">
        <v>32</v>
      </c>
      <c r="B10" s="6" t="s">
        <v>9</v>
      </c>
      <c r="C10" s="7" t="s">
        <v>26</v>
      </c>
      <c r="D10" s="6" t="s">
        <v>3</v>
      </c>
      <c r="E10" s="6" t="s">
        <v>18</v>
      </c>
      <c r="F10" s="6" t="b">
        <f>FALSE()</f>
        <v>0</v>
      </c>
      <c r="G10" s="6" t="s">
        <v>15</v>
      </c>
      <c r="H10" s="6" t="s">
        <v>27</v>
      </c>
      <c r="I10" s="8" t="s">
        <v>14</v>
      </c>
      <c r="J10" s="15">
        <v>0.5</v>
      </c>
      <c r="K10" s="15">
        <f t="shared" si="87"/>
        <v>0.5</v>
      </c>
      <c r="L10" s="15">
        <f t="shared" si="88"/>
        <v>0.5</v>
      </c>
      <c r="M10" s="15">
        <f t="shared" si="89"/>
        <v>0.5</v>
      </c>
      <c r="N10" s="15">
        <f t="shared" si="90"/>
        <v>0.5</v>
      </c>
      <c r="O10" s="14">
        <f t="shared" si="110"/>
        <v>0.5</v>
      </c>
      <c r="P10" s="15">
        <f t="shared" si="111"/>
        <v>0.5</v>
      </c>
      <c r="Q10" s="15">
        <f t="shared" si="112"/>
        <v>0.5</v>
      </c>
      <c r="R10" s="15">
        <f t="shared" si="113"/>
        <v>0.5</v>
      </c>
      <c r="S10" s="15">
        <f t="shared" si="114"/>
        <v>0.5</v>
      </c>
      <c r="T10" s="14">
        <f t="shared" si="115"/>
        <v>0.5</v>
      </c>
      <c r="U10" s="15">
        <f t="shared" si="91"/>
        <v>0.5</v>
      </c>
      <c r="V10" s="15">
        <f t="shared" si="92"/>
        <v>0.5</v>
      </c>
      <c r="W10" s="15">
        <f t="shared" si="93"/>
        <v>0.5</v>
      </c>
      <c r="X10" s="15">
        <f t="shared" si="94"/>
        <v>0.5</v>
      </c>
      <c r="Y10" s="14">
        <f t="shared" si="95"/>
        <v>0.5</v>
      </c>
      <c r="Z10" s="15">
        <f t="shared" si="96"/>
        <v>0.5</v>
      </c>
      <c r="AA10" s="15">
        <f t="shared" si="97"/>
        <v>0.5</v>
      </c>
      <c r="AB10" s="15">
        <f t="shared" si="98"/>
        <v>0.5</v>
      </c>
      <c r="AC10" s="15">
        <f t="shared" si="99"/>
        <v>0.5</v>
      </c>
      <c r="AD10" s="14">
        <f t="shared" si="100"/>
        <v>0.5</v>
      </c>
      <c r="AE10" s="15">
        <f t="shared" si="101"/>
        <v>0.5</v>
      </c>
      <c r="AF10" s="15">
        <f t="shared" si="102"/>
        <v>0.5</v>
      </c>
      <c r="AG10" s="15">
        <f t="shared" si="103"/>
        <v>0.5</v>
      </c>
      <c r="AH10" s="15">
        <f t="shared" si="104"/>
        <v>0.5</v>
      </c>
      <c r="AI10" s="14">
        <f t="shared" si="105"/>
        <v>0.5</v>
      </c>
      <c r="AJ10" s="15">
        <f t="shared" si="106"/>
        <v>0.5</v>
      </c>
      <c r="AK10" s="15">
        <f t="shared" si="107"/>
        <v>0.5</v>
      </c>
      <c r="AL10" s="15">
        <f t="shared" si="108"/>
        <v>0.5</v>
      </c>
      <c r="AM10" s="15">
        <f t="shared" si="109"/>
        <v>0.5</v>
      </c>
      <c r="AN10" s="25">
        <f>AM10</f>
        <v>0.5</v>
      </c>
    </row>
    <row r="11" spans="1:40" x14ac:dyDescent="0.25">
      <c r="A11" s="22" t="s">
        <v>32</v>
      </c>
      <c r="B11" s="10" t="s">
        <v>9</v>
      </c>
      <c r="C11" s="11" t="s">
        <v>28</v>
      </c>
      <c r="D11" s="10" t="s">
        <v>29</v>
      </c>
      <c r="E11" s="10" t="s">
        <v>13</v>
      </c>
      <c r="F11" s="10" t="b">
        <f>FALSE()</f>
        <v>0</v>
      </c>
      <c r="G11" s="10" t="s">
        <v>11</v>
      </c>
      <c r="H11" s="10" t="s">
        <v>27</v>
      </c>
      <c r="I11" s="12" t="s">
        <v>30</v>
      </c>
      <c r="J11" s="16">
        <v>5.5</v>
      </c>
      <c r="K11" s="16">
        <f t="shared" si="87"/>
        <v>5.5</v>
      </c>
      <c r="L11" s="16">
        <f t="shared" si="88"/>
        <v>5.5</v>
      </c>
      <c r="M11" s="16">
        <f t="shared" si="89"/>
        <v>5.5</v>
      </c>
      <c r="N11" s="16">
        <f t="shared" si="90"/>
        <v>5.5</v>
      </c>
      <c r="O11" s="17">
        <f t="shared" si="110"/>
        <v>5.5</v>
      </c>
      <c r="P11" s="16">
        <f t="shared" si="111"/>
        <v>5.5</v>
      </c>
      <c r="Q11" s="16">
        <f t="shared" si="112"/>
        <v>5.5</v>
      </c>
      <c r="R11" s="16">
        <f t="shared" si="113"/>
        <v>5.5</v>
      </c>
      <c r="S11" s="16">
        <f t="shared" si="114"/>
        <v>5.5</v>
      </c>
      <c r="T11" s="17">
        <f t="shared" si="115"/>
        <v>5.5</v>
      </c>
      <c r="U11" s="16">
        <f t="shared" si="91"/>
        <v>5.5</v>
      </c>
      <c r="V11" s="16">
        <f t="shared" si="92"/>
        <v>5.5</v>
      </c>
      <c r="W11" s="16">
        <f t="shared" si="93"/>
        <v>5.5</v>
      </c>
      <c r="X11" s="16">
        <f t="shared" si="94"/>
        <v>5.5</v>
      </c>
      <c r="Y11" s="17">
        <f t="shared" si="95"/>
        <v>5.5</v>
      </c>
      <c r="Z11" s="16">
        <f t="shared" si="96"/>
        <v>5.5</v>
      </c>
      <c r="AA11" s="16">
        <f t="shared" si="97"/>
        <v>5.5</v>
      </c>
      <c r="AB11" s="16">
        <f t="shared" si="98"/>
        <v>5.5</v>
      </c>
      <c r="AC11" s="16">
        <f t="shared" si="99"/>
        <v>5.5</v>
      </c>
      <c r="AD11" s="17">
        <v>0</v>
      </c>
      <c r="AE11" s="16">
        <f t="shared" si="101"/>
        <v>0</v>
      </c>
      <c r="AF11" s="16">
        <f t="shared" si="102"/>
        <v>0</v>
      </c>
      <c r="AG11" s="16">
        <f t="shared" si="103"/>
        <v>0</v>
      </c>
      <c r="AH11" s="16">
        <f t="shared" si="104"/>
        <v>0</v>
      </c>
      <c r="AI11" s="17">
        <f t="shared" si="105"/>
        <v>0</v>
      </c>
      <c r="AJ11" s="16">
        <f t="shared" si="106"/>
        <v>0</v>
      </c>
      <c r="AK11" s="16">
        <f t="shared" si="107"/>
        <v>0</v>
      </c>
      <c r="AL11" s="16">
        <f t="shared" si="108"/>
        <v>0</v>
      </c>
      <c r="AM11" s="16">
        <f t="shared" si="109"/>
        <v>0</v>
      </c>
      <c r="AN11" s="27">
        <f>AM11</f>
        <v>0</v>
      </c>
    </row>
    <row r="12" spans="1:40" x14ac:dyDescent="0.25">
      <c r="A12" s="22" t="s">
        <v>32</v>
      </c>
      <c r="B12" s="29" t="s">
        <v>9</v>
      </c>
      <c r="C12" s="30" t="s">
        <v>31</v>
      </c>
      <c r="D12" s="29" t="s">
        <v>29</v>
      </c>
      <c r="E12" s="29" t="s">
        <v>13</v>
      </c>
      <c r="F12" s="29" t="b">
        <f>FALSE()</f>
        <v>0</v>
      </c>
      <c r="G12" s="29" t="s">
        <v>11</v>
      </c>
      <c r="H12" s="29" t="s">
        <v>27</v>
      </c>
      <c r="I12" s="31" t="s">
        <v>30</v>
      </c>
      <c r="J12" s="32">
        <v>2.8</v>
      </c>
      <c r="K12" s="32">
        <f t="shared" si="87"/>
        <v>2.8</v>
      </c>
      <c r="L12" s="32">
        <f t="shared" si="88"/>
        <v>2.8</v>
      </c>
      <c r="M12" s="32">
        <f t="shared" si="89"/>
        <v>2.8</v>
      </c>
      <c r="N12" s="32">
        <f t="shared" si="90"/>
        <v>2.8</v>
      </c>
      <c r="O12" s="33">
        <f t="shared" si="110"/>
        <v>2.8</v>
      </c>
      <c r="P12" s="32">
        <f t="shared" si="111"/>
        <v>2.8</v>
      </c>
      <c r="Q12" s="32">
        <f t="shared" si="112"/>
        <v>2.8</v>
      </c>
      <c r="R12" s="32">
        <f t="shared" si="113"/>
        <v>2.8</v>
      </c>
      <c r="S12" s="32">
        <f t="shared" si="114"/>
        <v>2.8</v>
      </c>
      <c r="T12" s="33">
        <f t="shared" si="115"/>
        <v>2.8</v>
      </c>
      <c r="U12" s="32">
        <f t="shared" si="91"/>
        <v>2.8</v>
      </c>
      <c r="V12" s="32">
        <f t="shared" si="92"/>
        <v>2.8</v>
      </c>
      <c r="W12" s="32">
        <f t="shared" si="93"/>
        <v>2.8</v>
      </c>
      <c r="X12" s="32">
        <f t="shared" si="94"/>
        <v>2.8</v>
      </c>
      <c r="Y12" s="33">
        <f t="shared" si="95"/>
        <v>2.8</v>
      </c>
      <c r="Z12" s="32">
        <f t="shared" si="96"/>
        <v>2.8</v>
      </c>
      <c r="AA12" s="32">
        <f t="shared" si="97"/>
        <v>2.8</v>
      </c>
      <c r="AB12" s="32">
        <f t="shared" si="98"/>
        <v>2.8</v>
      </c>
      <c r="AC12" s="32">
        <f t="shared" si="99"/>
        <v>2.8</v>
      </c>
      <c r="AD12" s="33">
        <f>AC12</f>
        <v>2.8</v>
      </c>
      <c r="AE12" s="32">
        <f t="shared" si="101"/>
        <v>2.8</v>
      </c>
      <c r="AF12" s="32">
        <f t="shared" si="102"/>
        <v>2.8</v>
      </c>
      <c r="AG12" s="32">
        <f t="shared" si="103"/>
        <v>2.8</v>
      </c>
      <c r="AH12" s="32">
        <f t="shared" si="104"/>
        <v>2.8</v>
      </c>
      <c r="AI12" s="33">
        <f t="shared" si="105"/>
        <v>2.8</v>
      </c>
      <c r="AJ12" s="32">
        <f t="shared" si="106"/>
        <v>2.8</v>
      </c>
      <c r="AK12" s="32">
        <f t="shared" si="107"/>
        <v>2.8</v>
      </c>
      <c r="AL12" s="32">
        <f t="shared" si="108"/>
        <v>2.8</v>
      </c>
      <c r="AM12" s="32">
        <f t="shared" si="109"/>
        <v>2.8</v>
      </c>
      <c r="AN12" s="34">
        <f>AM12</f>
        <v>2.8</v>
      </c>
    </row>
  </sheetData>
  <autoFilter ref="A1:I12" xr:uid="{00000000-0009-0000-0000-000000000000}"/>
  <conditionalFormatting sqref="A2:A12">
    <cfRule type="containsText" dxfId="0" priority="3" operator="containsText" text="ignore">
      <formula>NOT(ISERROR(SEARCH("ignore",A2)))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operational_constraints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pklein</dc:creator>
  <dc:description/>
  <cp:lastModifiedBy>Agatha Majcher</cp:lastModifiedBy>
  <cp:revision>8</cp:revision>
  <dcterms:created xsi:type="dcterms:W3CDTF">2015-06-05T18:17:20Z</dcterms:created>
  <dcterms:modified xsi:type="dcterms:W3CDTF">2026-08-16T14:02:48Z</dcterms:modified>
  <dc:language>en-GB</dc:language>
</cp:coreProperties>
</file>